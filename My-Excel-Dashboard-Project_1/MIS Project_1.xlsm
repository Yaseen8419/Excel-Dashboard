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Devolix.co\Desktop\Excel Projects For Resume\"/>
    </mc:Choice>
  </mc:AlternateContent>
  <xr:revisionPtr revIDLastSave="0" documentId="13_ncr:1_{34C7A991-318E-4D00-86DF-51736B6B7C67}" xr6:coauthVersionLast="36" xr6:coauthVersionMax="36" xr10:uidLastSave="{00000000-0000-0000-0000-000000000000}"/>
  <bookViews>
    <workbookView xWindow="0" yWindow="0" windowWidth="15345" windowHeight="4470" xr2:uid="{50733C41-5C31-4D44-B7F4-24511961CF31}"/>
  </bookViews>
  <sheets>
    <sheet name="DASHBOARD" sheetId="2" r:id="rId1"/>
    <sheet name="RAW_DATA" sheetId="1" r:id="rId2"/>
  </sheets>
  <definedNames>
    <definedName name="_xlnm._FilterDatabase" localSheetId="0" hidden="1">DASHBOARD!$A$3:$B$9</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K140" i="1"/>
  <c r="L140" i="1" s="1"/>
  <c r="I140" i="1"/>
  <c r="I139" i="1"/>
  <c r="K139" i="1" s="1"/>
  <c r="L139" i="1" s="1"/>
  <c r="I138" i="1"/>
  <c r="K138" i="1" s="1"/>
  <c r="L138" i="1" s="1"/>
  <c r="L137" i="1"/>
  <c r="K137" i="1"/>
  <c r="I137" i="1"/>
  <c r="K136" i="1"/>
  <c r="L136" i="1" s="1"/>
  <c r="I136" i="1"/>
  <c r="I135" i="1"/>
  <c r="K135" i="1" s="1"/>
  <c r="L135" i="1" s="1"/>
  <c r="I134" i="1"/>
  <c r="K134" i="1" s="1"/>
  <c r="L134" i="1" s="1"/>
  <c r="L133" i="1"/>
  <c r="K133" i="1"/>
  <c r="I133" i="1"/>
  <c r="I132" i="1"/>
  <c r="K132" i="1" s="1"/>
  <c r="L132" i="1" s="1"/>
  <c r="I131" i="1"/>
  <c r="K131" i="1" s="1"/>
  <c r="L131" i="1" s="1"/>
  <c r="I130" i="1"/>
  <c r="K130" i="1" s="1"/>
  <c r="L130" i="1" s="1"/>
  <c r="K129" i="1"/>
  <c r="L129" i="1" s="1"/>
  <c r="I129" i="1"/>
  <c r="K128" i="1"/>
  <c r="L128" i="1" s="1"/>
  <c r="I128" i="1"/>
  <c r="I127" i="1"/>
  <c r="K127" i="1" s="1"/>
  <c r="L127" i="1" s="1"/>
  <c r="I126" i="1"/>
  <c r="K126" i="1" s="1"/>
  <c r="L126" i="1" s="1"/>
  <c r="I125" i="1"/>
  <c r="K125" i="1" s="1"/>
  <c r="L125" i="1" s="1"/>
  <c r="K124" i="1"/>
  <c r="L124" i="1" s="1"/>
  <c r="I124" i="1"/>
  <c r="I123" i="1"/>
  <c r="K123" i="1" s="1"/>
  <c r="L123" i="1" s="1"/>
  <c r="I122" i="1"/>
  <c r="K122" i="1" s="1"/>
  <c r="L122" i="1" s="1"/>
  <c r="L121" i="1"/>
  <c r="K121" i="1"/>
  <c r="I121" i="1"/>
  <c r="K120" i="1"/>
  <c r="L120" i="1" s="1"/>
  <c r="I120" i="1"/>
  <c r="I119" i="1"/>
  <c r="K119" i="1" s="1"/>
  <c r="L119" i="1" s="1"/>
  <c r="I118" i="1"/>
  <c r="K118" i="1" s="1"/>
  <c r="L118" i="1" s="1"/>
  <c r="L117" i="1"/>
  <c r="K117" i="1"/>
  <c r="I117" i="1"/>
  <c r="I116" i="1"/>
  <c r="K116" i="1" s="1"/>
  <c r="L116" i="1" s="1"/>
  <c r="I115" i="1"/>
  <c r="K115" i="1" s="1"/>
  <c r="L115" i="1" s="1"/>
  <c r="I114" i="1"/>
  <c r="K114" i="1" s="1"/>
  <c r="L114" i="1" s="1"/>
  <c r="K113" i="1"/>
  <c r="L113" i="1" s="1"/>
  <c r="I113" i="1"/>
  <c r="K112" i="1"/>
  <c r="L112" i="1" s="1"/>
  <c r="I112" i="1"/>
  <c r="K111" i="1"/>
  <c r="L111" i="1" s="1"/>
  <c r="I111" i="1"/>
  <c r="I110" i="1"/>
  <c r="K110" i="1" s="1"/>
  <c r="L110" i="1" s="1"/>
  <c r="K109" i="1"/>
  <c r="L109" i="1" s="1"/>
  <c r="I109" i="1"/>
  <c r="K108" i="1"/>
  <c r="L108" i="1" s="1"/>
  <c r="I108" i="1"/>
  <c r="I107" i="1"/>
  <c r="K107" i="1" s="1"/>
  <c r="L107" i="1" s="1"/>
  <c r="I106" i="1"/>
  <c r="K106" i="1" s="1"/>
  <c r="L106" i="1" s="1"/>
  <c r="I105" i="1"/>
  <c r="K105" i="1" s="1"/>
  <c r="L105" i="1" s="1"/>
  <c r="L104" i="1"/>
  <c r="K104" i="1"/>
  <c r="I104" i="1"/>
  <c r="I103" i="1"/>
  <c r="K103" i="1" s="1"/>
  <c r="L103" i="1" s="1"/>
  <c r="I102" i="1"/>
  <c r="K102" i="1" s="1"/>
  <c r="L102" i="1" s="1"/>
  <c r="I101" i="1"/>
  <c r="K101" i="1" s="1"/>
  <c r="L101" i="1" s="1"/>
  <c r="L100" i="1"/>
  <c r="K100" i="1"/>
  <c r="I100" i="1"/>
  <c r="K99" i="1"/>
  <c r="L99" i="1" s="1"/>
  <c r="I99" i="1"/>
  <c r="I98" i="1"/>
  <c r="K98" i="1" s="1"/>
  <c r="L98" i="1" s="1"/>
  <c r="K97" i="1"/>
  <c r="L97" i="1" s="1"/>
  <c r="I97" i="1"/>
  <c r="K96" i="1"/>
  <c r="L96" i="1" s="1"/>
  <c r="I96" i="1"/>
  <c r="K95" i="1"/>
  <c r="L95" i="1" s="1"/>
  <c r="I95" i="1"/>
  <c r="I94" i="1"/>
  <c r="K94" i="1" s="1"/>
  <c r="L94" i="1" s="1"/>
  <c r="K93" i="1"/>
  <c r="L93" i="1" s="1"/>
  <c r="I93" i="1"/>
  <c r="K92" i="1"/>
  <c r="L92" i="1" s="1"/>
  <c r="I92" i="1"/>
  <c r="I91" i="1"/>
  <c r="K91" i="1" s="1"/>
  <c r="L91" i="1" s="1"/>
  <c r="I90" i="1"/>
  <c r="K90" i="1" s="1"/>
  <c r="L90" i="1" s="1"/>
  <c r="I89" i="1"/>
  <c r="K89" i="1" s="1"/>
  <c r="L89" i="1" s="1"/>
  <c r="L88" i="1"/>
  <c r="K88" i="1"/>
  <c r="I88" i="1"/>
  <c r="I87" i="1"/>
  <c r="K87" i="1" s="1"/>
  <c r="L87" i="1" s="1"/>
  <c r="I86" i="1"/>
  <c r="K86" i="1" s="1"/>
  <c r="L86" i="1" s="1"/>
  <c r="I85" i="1"/>
  <c r="K85" i="1" s="1"/>
  <c r="L85" i="1" s="1"/>
  <c r="L84" i="1"/>
  <c r="K84" i="1"/>
  <c r="I84" i="1"/>
  <c r="K83" i="1"/>
  <c r="L83" i="1" s="1"/>
  <c r="I83" i="1"/>
  <c r="I82" i="1"/>
  <c r="K82" i="1" s="1"/>
  <c r="L82" i="1" s="1"/>
  <c r="K81" i="1"/>
  <c r="L81" i="1" s="1"/>
  <c r="I81" i="1"/>
  <c r="K80" i="1"/>
  <c r="L80" i="1" s="1"/>
  <c r="I80" i="1"/>
  <c r="K79" i="1"/>
  <c r="L79" i="1" s="1"/>
  <c r="I79" i="1"/>
  <c r="I78" i="1"/>
  <c r="K78" i="1" s="1"/>
  <c r="L78" i="1" s="1"/>
  <c r="K77" i="1"/>
  <c r="L77" i="1" s="1"/>
  <c r="I77" i="1"/>
  <c r="K76" i="1"/>
  <c r="L76" i="1" s="1"/>
  <c r="I76" i="1"/>
  <c r="I75" i="1"/>
  <c r="K75" i="1" s="1"/>
  <c r="L75" i="1" s="1"/>
  <c r="I74" i="1"/>
  <c r="K74" i="1" s="1"/>
  <c r="L74" i="1" s="1"/>
  <c r="I73" i="1"/>
  <c r="K73" i="1" s="1"/>
  <c r="L73" i="1" s="1"/>
  <c r="L72" i="1"/>
  <c r="K72" i="1"/>
  <c r="I72" i="1"/>
  <c r="I71" i="1"/>
  <c r="K71" i="1" s="1"/>
  <c r="L71" i="1" s="1"/>
  <c r="I70" i="1"/>
  <c r="K70" i="1" s="1"/>
  <c r="L70" i="1" s="1"/>
  <c r="I69" i="1"/>
  <c r="K69" i="1" s="1"/>
  <c r="L69" i="1" s="1"/>
  <c r="L68" i="1"/>
  <c r="K68" i="1"/>
  <c r="I68" i="1"/>
  <c r="K67" i="1"/>
  <c r="L67" i="1" s="1"/>
  <c r="I67" i="1"/>
  <c r="I66" i="1"/>
  <c r="K66" i="1" s="1"/>
  <c r="L66" i="1" s="1"/>
  <c r="K65" i="1"/>
  <c r="L65" i="1" s="1"/>
  <c r="I65" i="1"/>
  <c r="K64" i="1"/>
  <c r="L64" i="1" s="1"/>
  <c r="I64" i="1"/>
  <c r="K63" i="1"/>
  <c r="L63" i="1" s="1"/>
  <c r="I63" i="1"/>
  <c r="I62" i="1"/>
  <c r="K62" i="1" s="1"/>
  <c r="L62" i="1" s="1"/>
  <c r="K61" i="1"/>
  <c r="L61" i="1" s="1"/>
  <c r="I61" i="1"/>
  <c r="K60" i="1"/>
  <c r="L60" i="1" s="1"/>
  <c r="I60" i="1"/>
  <c r="I59" i="1"/>
  <c r="K59" i="1" s="1"/>
  <c r="L59" i="1" s="1"/>
  <c r="I58" i="1"/>
  <c r="K58" i="1" s="1"/>
  <c r="L58" i="1" s="1"/>
  <c r="I57" i="1"/>
  <c r="K57" i="1" s="1"/>
  <c r="L57" i="1" s="1"/>
  <c r="L56" i="1"/>
  <c r="K56" i="1"/>
  <c r="I56" i="1"/>
  <c r="I55" i="1"/>
  <c r="K55" i="1" s="1"/>
  <c r="L55" i="1" s="1"/>
  <c r="I54" i="1"/>
  <c r="K54" i="1" s="1"/>
  <c r="L54" i="1" s="1"/>
  <c r="I53" i="1"/>
  <c r="K53" i="1" s="1"/>
  <c r="L53" i="1" s="1"/>
  <c r="L52" i="1"/>
  <c r="K52" i="1"/>
  <c r="I52" i="1"/>
  <c r="K51" i="1"/>
  <c r="L51" i="1" s="1"/>
  <c r="I51" i="1"/>
  <c r="I50" i="1"/>
  <c r="K50" i="1" s="1"/>
  <c r="L50" i="1" s="1"/>
  <c r="K49" i="1"/>
  <c r="L49" i="1" s="1"/>
  <c r="I49" i="1"/>
  <c r="K48" i="1"/>
  <c r="L48" i="1" s="1"/>
  <c r="I48" i="1"/>
  <c r="K47" i="1"/>
  <c r="L47" i="1" s="1"/>
  <c r="I47" i="1"/>
  <c r="I46" i="1"/>
  <c r="K46" i="1" s="1"/>
  <c r="L46" i="1" s="1"/>
  <c r="K45" i="1"/>
  <c r="L45" i="1" s="1"/>
  <c r="I45" i="1"/>
  <c r="K44" i="1"/>
  <c r="L44" i="1" s="1"/>
  <c r="I44" i="1"/>
  <c r="I43" i="1"/>
  <c r="K43" i="1" s="1"/>
  <c r="L43" i="1" s="1"/>
  <c r="I42" i="1"/>
  <c r="K42" i="1" s="1"/>
  <c r="L42" i="1" s="1"/>
  <c r="I41" i="1"/>
  <c r="K41" i="1" s="1"/>
  <c r="L41" i="1" s="1"/>
  <c r="L40" i="1"/>
  <c r="K40" i="1"/>
  <c r="I40" i="1"/>
  <c r="I39" i="1"/>
  <c r="K39" i="1" s="1"/>
  <c r="L39" i="1" s="1"/>
  <c r="I38" i="1"/>
  <c r="K38" i="1" s="1"/>
  <c r="L38" i="1" s="1"/>
  <c r="I37" i="1"/>
  <c r="K37" i="1" s="1"/>
  <c r="L37" i="1" s="1"/>
  <c r="L36" i="1"/>
  <c r="K36" i="1"/>
  <c r="I36" i="1"/>
  <c r="K35" i="1"/>
  <c r="L35" i="1" s="1"/>
  <c r="I35" i="1"/>
  <c r="I34" i="1"/>
  <c r="K34" i="1" s="1"/>
  <c r="L34" i="1" s="1"/>
  <c r="K33" i="1"/>
  <c r="L33" i="1" s="1"/>
  <c r="I33" i="1"/>
  <c r="K32" i="1"/>
  <c r="L32" i="1" s="1"/>
  <c r="I32" i="1"/>
  <c r="K31" i="1"/>
  <c r="L31" i="1" s="1"/>
  <c r="I31" i="1"/>
  <c r="I30" i="1"/>
  <c r="K30" i="1" s="1"/>
  <c r="L30" i="1" s="1"/>
  <c r="K29" i="1"/>
  <c r="L29" i="1" s="1"/>
  <c r="I29" i="1"/>
  <c r="K28" i="1"/>
  <c r="L28" i="1" s="1"/>
  <c r="I28" i="1"/>
  <c r="I27" i="1"/>
  <c r="K27" i="1" s="1"/>
  <c r="L27" i="1" s="1"/>
  <c r="I26" i="1"/>
  <c r="K26" i="1" s="1"/>
  <c r="L26" i="1" s="1"/>
  <c r="I25" i="1"/>
  <c r="K25" i="1" s="1"/>
  <c r="L25" i="1" s="1"/>
  <c r="L24" i="1"/>
  <c r="K24" i="1"/>
  <c r="I24" i="1"/>
  <c r="I23" i="1"/>
  <c r="K23" i="1" s="1"/>
  <c r="L23" i="1" s="1"/>
  <c r="I22" i="1"/>
  <c r="K22" i="1" s="1"/>
  <c r="L22" i="1" s="1"/>
  <c r="I21" i="1"/>
  <c r="K21" i="1" s="1"/>
  <c r="L21" i="1" s="1"/>
  <c r="L20" i="1"/>
  <c r="K20" i="1"/>
  <c r="I20" i="1"/>
  <c r="K19" i="1"/>
  <c r="L19" i="1" s="1"/>
  <c r="I19" i="1"/>
  <c r="I18" i="1"/>
  <c r="K18" i="1" s="1"/>
  <c r="L18" i="1" s="1"/>
  <c r="K17" i="1"/>
  <c r="L17" i="1" s="1"/>
  <c r="I17" i="1"/>
  <c r="K16" i="1"/>
  <c r="L16" i="1" s="1"/>
  <c r="I16" i="1"/>
  <c r="K15" i="1"/>
  <c r="L15" i="1" s="1"/>
  <c r="I15" i="1"/>
  <c r="I14" i="1"/>
  <c r="K14" i="1" s="1"/>
  <c r="L14" i="1" s="1"/>
  <c r="K13" i="1"/>
  <c r="L13" i="1" s="1"/>
  <c r="I13" i="1"/>
  <c r="K12" i="1"/>
  <c r="L12" i="1" s="1"/>
  <c r="I12" i="1"/>
  <c r="I11" i="1"/>
  <c r="K11" i="1" s="1"/>
  <c r="L11" i="1" s="1"/>
  <c r="I10" i="1"/>
  <c r="K10" i="1" s="1"/>
  <c r="L10" i="1" s="1"/>
  <c r="I9" i="1"/>
  <c r="K9" i="1" s="1"/>
  <c r="L9" i="1" s="1"/>
  <c r="L8" i="1"/>
  <c r="K8" i="1"/>
  <c r="I8" i="1"/>
  <c r="I7" i="1"/>
  <c r="K7" i="1" s="1"/>
  <c r="L7" i="1" s="1"/>
  <c r="I6" i="1"/>
  <c r="K6" i="1" s="1"/>
  <c r="L6" i="1" s="1"/>
  <c r="I5" i="1"/>
  <c r="K5" i="1" s="1"/>
  <c r="L5" i="1" s="1"/>
  <c r="L4" i="1"/>
  <c r="K4" i="1"/>
  <c r="I4" i="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<sst xmlns="http://schemas.openxmlformats.org/spreadsheetml/2006/main" count="463" uniqueCount="305">
  <si>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</si>
  <si>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</si>
  <si>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</si>
  <si>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</si>
  <si>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</si>
  <si>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</si>
  <si>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</si>
  <si>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</si>
  <si>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</si>
  <si>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</si>
  <si>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</si>
  <si>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</si>
  <si>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</si>
  <si>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</si>
  <si>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</si>
  <si>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</si>
  <si>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</si>
  <si>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</si>
  <si>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</si>
  <si>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</si>
  <si>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</si>
  <si>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</si>
  <si>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</si>
  <si>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</si>
  <si>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</si>
  <si>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</si>
  <si>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</si>
  <si>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</si>
  <si>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</si>
  <si>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</si>
  <si>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</si>
  <si>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</si>
  <si>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</si>
  <si>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</si>
  <si>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</si>
  <si>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</si>
  <si>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</si>
  <si>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</si>
  <si>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</si>
  <si>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</si>
  <si>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</si>
  <si>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</si>
  <si>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</si>
  <si>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</si>
  <si>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</si>
  <si>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</si>
  <si>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</si>
  <si>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</si>
  <si>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</si>
  <si>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</si>
  <si>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</si>
  <si>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</si>
  <si>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</si>
  <si>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</si>
  <si>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</si>
  <si>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</si>
  <si>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</si>
  <si>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Mum-TCL046</t>
  </si>
  <si>
    <t>Mum-TCL047</t>
  </si>
  <si>
    <t>Mum-TCL048</t>
  </si>
  <si>
    <t>Mum-TCL049</t>
  </si>
  <si>
    <t>Mum-TCL050</t>
  </si>
  <si>
    <t>Mum-TCL051</t>
  </si>
  <si>
    <t>Mum-TCL052</t>
  </si>
  <si>
    <t>Mum-TCL053</t>
  </si>
  <si>
    <t>Mum-TCL054</t>
  </si>
  <si>
    <t>Mum-TCL055</t>
  </si>
  <si>
    <t>Mum-TCL056</t>
  </si>
  <si>
    <t>Mum-TCL057</t>
  </si>
  <si>
    <t>Mum-TCL058</t>
  </si>
  <si>
    <t>Mum-TCL059</t>
  </si>
  <si>
    <t>Mum-TCL060</t>
  </si>
  <si>
    <t>Mum-TCL061</t>
  </si>
  <si>
    <t>Mum-TCL062</t>
  </si>
  <si>
    <t>Mum-TCL063</t>
  </si>
  <si>
    <t>Mum-TCL064</t>
  </si>
  <si>
    <t>Mum-TCL065</t>
  </si>
  <si>
    <t>Mum-TCL066</t>
  </si>
  <si>
    <t>Mum-TCL067</t>
  </si>
  <si>
    <t>Mum-TCL068</t>
  </si>
  <si>
    <t>Mum-TCL069</t>
  </si>
  <si>
    <t>Mum-TCL070</t>
  </si>
  <si>
    <t>Mum-TCL071</t>
  </si>
  <si>
    <t>Mum-TCL072</t>
  </si>
  <si>
    <t>Mum-TCL073</t>
  </si>
  <si>
    <t>Mum-TCL074</t>
  </si>
  <si>
    <t>Mum-TCL075</t>
  </si>
  <si>
    <t>Mum-TCL076</t>
  </si>
  <si>
    <t>Mum-TCL077</t>
  </si>
  <si>
    <t>Mum-TCL078</t>
  </si>
  <si>
    <t>Mum-TCL079</t>
  </si>
  <si>
    <t>Mum-TCL080</t>
  </si>
  <si>
    <t>Mum-TCL081</t>
  </si>
  <si>
    <t>Mum-TCL082</t>
  </si>
  <si>
    <t>Mum-TCL083</t>
  </si>
  <si>
    <t>Mum-TCL084</t>
  </si>
  <si>
    <t>Mum-TCL085</t>
  </si>
  <si>
    <t>Mum-TCL086</t>
  </si>
  <si>
    <t>Mum-TCL087</t>
  </si>
  <si>
    <t>Mum-TCL088</t>
  </si>
  <si>
    <t>Mum-TCL089</t>
  </si>
  <si>
    <t>Mum-TCL090</t>
  </si>
  <si>
    <t>Mum-TCL091</t>
  </si>
  <si>
    <t>Mum-TCL092</t>
  </si>
  <si>
    <t>Mum-TCL093</t>
  </si>
  <si>
    <t>Mum-TCL094</t>
  </si>
  <si>
    <t>Mum-TCL095</t>
  </si>
  <si>
    <t>Mum-TCL096</t>
  </si>
  <si>
    <t>Mum-TCL097</t>
  </si>
  <si>
    <t>Mum-TCL098</t>
  </si>
  <si>
    <t>Mum-TCL099</t>
  </si>
  <si>
    <t>Mum-TCL100</t>
  </si>
  <si>
    <t>Mum-TCL101</t>
  </si>
  <si>
    <t>Mum-TCL102</t>
  </si>
  <si>
    <t>Mum-TCL103</t>
  </si>
  <si>
    <t>Mum-TCL104</t>
  </si>
  <si>
    <t>Mum-TCL105</t>
  </si>
  <si>
    <t>Mum-TCL106</t>
  </si>
  <si>
    <t>Mum-TCL107</t>
  </si>
  <si>
    <t>Mum-TCL108</t>
  </si>
  <si>
    <t>Mum-TCL109</t>
  </si>
  <si>
    <t>Mum-TCL110</t>
  </si>
  <si>
    <t>Mum-TCL111</t>
  </si>
  <si>
    <t>Mum-TCL112</t>
  </si>
  <si>
    <t>Mum-TCL113</t>
  </si>
  <si>
    <t>Mum-TCL114</t>
  </si>
  <si>
    <t>Mum-TCL115</t>
  </si>
  <si>
    <t>Mum-TCL116</t>
  </si>
  <si>
    <t>Mum-TCL117</t>
  </si>
  <si>
    <t>Mum-TCL118</t>
  </si>
  <si>
    <t>Mum-TCL119</t>
  </si>
  <si>
    <t>Mum-TCL120</t>
  </si>
  <si>
    <t>Mum-TCL121</t>
  </si>
  <si>
    <t>Mum-TCL122</t>
  </si>
  <si>
    <t>Mum-TCL123</t>
  </si>
  <si>
    <t>Mum-TCL124</t>
  </si>
  <si>
    <t>Mum-TCL125</t>
  </si>
  <si>
    <t>Mum-TCL126</t>
  </si>
  <si>
    <t>Mum-TCL127</t>
  </si>
  <si>
    <t>Mum-TCL128</t>
  </si>
  <si>
    <t>Mum-TCL129</t>
  </si>
  <si>
    <t>Mum-TCL130</t>
  </si>
  <si>
    <t>Mum-TCL131</t>
  </si>
  <si>
    <t>Mum-TCL132</t>
  </si>
  <si>
    <t>Mum-TCL133</t>
  </si>
  <si>
    <t>Mum-TCL134</t>
  </si>
  <si>
    <t>Mum-TCL135</t>
  </si>
  <si>
    <t>Mum-TCL136</t>
  </si>
  <si>
    <t>Mum-TCL137</t>
  </si>
  <si>
    <t>Mum-TCL138</t>
  </si>
  <si>
    <t>Mum-TCL139</t>
  </si>
  <si>
    <t>Mum-TCL140</t>
  </si>
  <si>
    <t>Mum-TCL141</t>
  </si>
  <si>
    <t>Abdul Hamid</t>
  </si>
  <si>
    <t>Ahmed Khan</t>
  </si>
  <si>
    <t>Bilal Qureshi</t>
  </si>
  <si>
    <t>Hassan Siddiqui</t>
  </si>
  <si>
    <t>Imran Farooqi</t>
  </si>
  <si>
    <t>Zain Abbasi</t>
  </si>
  <si>
    <t>Khalid Ansari</t>
  </si>
  <si>
    <t>Farhan Jafri</t>
  </si>
  <si>
    <t>Usman Mirza</t>
  </si>
  <si>
    <t>Salman Chishti</t>
  </si>
  <si>
    <t>Taha Hussain</t>
  </si>
  <si>
    <t>Yousuf Khan</t>
  </si>
  <si>
    <t>Danish Qadri</t>
  </si>
  <si>
    <t>Noman Baig</t>
  </si>
  <si>
    <t>Faizan Raza</t>
  </si>
  <si>
    <t>Shoaib Ahmed</t>
  </si>
  <si>
    <t>Ahsan Shah</t>
  </si>
  <si>
    <t>Adnan Malik</t>
  </si>
  <si>
    <t>Waqar Hashmi</t>
  </si>
  <si>
    <t>Hamza Tariq</t>
  </si>
  <si>
    <t>Shayan Akhtar</t>
  </si>
  <si>
    <t>Saad Alam</t>
  </si>
  <si>
    <t>Owais Siddiqui</t>
  </si>
  <si>
    <t>Haris Nadeem</t>
  </si>
  <si>
    <t>Arsalan Khan</t>
  </si>
  <si>
    <t>Zeeshan Qureshi</t>
  </si>
  <si>
    <t>Junaid Farooq</t>
  </si>
  <si>
    <t>Asad Mehmood</t>
  </si>
  <si>
    <t>Rayan Sheikh</t>
  </si>
  <si>
    <t>Moiz Anwar</t>
  </si>
  <si>
    <t>Talha Iqbal</t>
  </si>
  <si>
    <t>Rehan Saeed</t>
  </si>
  <si>
    <t>Rizwan Arif</t>
  </si>
  <si>
    <t>Zubair Ali</t>
  </si>
  <si>
    <t>Naveed Azam</t>
  </si>
  <si>
    <t>Ibrahim Shahbaz</t>
  </si>
  <si>
    <t>Umar Qasim</t>
  </si>
  <si>
    <t>Mustafa Rizvi</t>
  </si>
  <si>
    <t>Sameer Gillani</t>
  </si>
  <si>
    <t>Adeel Nasir</t>
  </si>
  <si>
    <t>Bashir Haider</t>
  </si>
  <si>
    <t>Kamran Yasin</t>
  </si>
  <si>
    <t>Ayaz Rauf</t>
  </si>
  <si>
    <t>Aftab Karim</t>
  </si>
  <si>
    <t>Mazhar Noor</t>
  </si>
  <si>
    <t>Sohail Irfan</t>
  </si>
  <si>
    <t>Sufyan Tahir</t>
  </si>
  <si>
    <t>Waqas Amin</t>
  </si>
  <si>
    <t>Hammad Latif</t>
  </si>
  <si>
    <t>Shahbaz Suleman</t>
  </si>
  <si>
    <t>Ismail Dar</t>
  </si>
  <si>
    <t>Luqman Bashir</t>
  </si>
  <si>
    <t>Tariq Javed</t>
  </si>
  <si>
    <t>Anas Waleed</t>
  </si>
  <si>
    <t>Nabeel Rasheed</t>
  </si>
  <si>
    <t>Rauf Aslam</t>
  </si>
  <si>
    <t>Fawad Riaz</t>
  </si>
  <si>
    <t>Haider Asad</t>
  </si>
  <si>
    <t>Saifullah Baig</t>
  </si>
  <si>
    <t>Khizar Noman</t>
  </si>
  <si>
    <t>Ubaid Rehman</t>
  </si>
  <si>
    <t>Kashif Nisar</t>
  </si>
  <si>
    <t>Zaid Tanveer</t>
  </si>
  <si>
    <t>Haroon Gillani</t>
  </si>
  <si>
    <t>Imtiaz Qamar</t>
  </si>
  <si>
    <t>Rameez Aftab</t>
  </si>
  <si>
    <t>Salman Nawaz</t>
  </si>
  <si>
    <t>Adil Hussain</t>
  </si>
  <si>
    <t>Tauseef Raza</t>
  </si>
  <si>
    <t>Irfan Zubair</t>
  </si>
  <si>
    <t>Shakeel Abbas</t>
  </si>
  <si>
    <t>Noman Qadri</t>
  </si>
  <si>
    <t>Rehman Saif</t>
  </si>
  <si>
    <t>Mehmood Iqbal</t>
  </si>
  <si>
    <t>Arsalan Zubair</t>
  </si>
  <si>
    <t>Usama Noor</t>
  </si>
  <si>
    <t>Aymaan Riaz</t>
  </si>
  <si>
    <t>Zohaib Yousaf</t>
  </si>
  <si>
    <t>Shahid Ilyas</t>
  </si>
  <si>
    <t>Abrar Nawaz</t>
  </si>
  <si>
    <t>Babar Hashim</t>
  </si>
  <si>
    <t>Daniyal Usman</t>
  </si>
  <si>
    <t>Raheel Qureshi</t>
  </si>
  <si>
    <t>Muneeb Ali</t>
  </si>
  <si>
    <t>Fahad Rasool</t>
  </si>
  <si>
    <t>Zarar Javed</t>
  </si>
  <si>
    <t>Raza Mir</t>
  </si>
  <si>
    <t>Jibran Karim</t>
  </si>
  <si>
    <t>Umair Zia</t>
  </si>
  <si>
    <t>Akbar Kazmi</t>
  </si>
  <si>
    <t>Shabbir Haider</t>
  </si>
  <si>
    <t>Amir Sohail</t>
  </si>
  <si>
    <t>Furqan Shah</t>
  </si>
  <si>
    <t>Waleed Baig</t>
  </si>
  <si>
    <t>Ahsan Hayat</t>
  </si>
  <si>
    <t>Haseeb Rauf</t>
  </si>
  <si>
    <t>Shayan Rafiq</t>
  </si>
  <si>
    <t>Tahir Khalid</t>
  </si>
  <si>
    <t>Noman Shah</t>
  </si>
  <si>
    <t>Sarfaraz Nawaz</t>
  </si>
  <si>
    <t>Shah Rukh</t>
  </si>
  <si>
    <t>Zafar Ali</t>
  </si>
  <si>
    <t>Mahir Rauf</t>
  </si>
  <si>
    <t>Imran Murtaza</t>
  </si>
  <si>
    <t>Arham Waleed</t>
  </si>
  <si>
    <t>Sarmad Khan</t>
  </si>
  <si>
    <t>Taimoor Anwar</t>
  </si>
  <si>
    <t>Faiz Haider</t>
  </si>
  <si>
    <t>Usman Haqqani</t>
  </si>
  <si>
    <t>Shahzeb Rizvi</t>
  </si>
  <si>
    <t>Azhar Iqbal</t>
  </si>
  <si>
    <t>Yawar Rehman</t>
  </si>
  <si>
    <t>Amir Jameel</t>
  </si>
  <si>
    <t>Junaid Irfan</t>
  </si>
  <si>
    <t>Umar Khalil</t>
  </si>
  <si>
    <t>Waqas Tanveer</t>
  </si>
  <si>
    <t>Awais Zubair</t>
  </si>
  <si>
    <t>Irfan Lodhi</t>
  </si>
  <si>
    <t>Kamal Mustafa</t>
  </si>
  <si>
    <t>Mustafa Khalid</t>
  </si>
  <si>
    <t>Rashid Qamar</t>
  </si>
  <si>
    <t>Khalil Haqqani</t>
  </si>
  <si>
    <t>Adnan Zaki</t>
  </si>
  <si>
    <t>Saifuddin Noor</t>
  </si>
  <si>
    <t>Nauman Saeed</t>
  </si>
  <si>
    <t>Zia Murtaza</t>
  </si>
  <si>
    <t>Fahim Ahmed</t>
  </si>
  <si>
    <t>Daniyal Iqbal</t>
  </si>
  <si>
    <t>Arif Sadiq</t>
  </si>
  <si>
    <t>Khurram Riaz</t>
  </si>
  <si>
    <t>Hamid Ali</t>
  </si>
  <si>
    <t>Salman Junaid</t>
  </si>
  <si>
    <t>Bilal Javed</t>
  </si>
  <si>
    <t>Wasif Abbas</t>
  </si>
  <si>
    <t>Shahbaz Ali</t>
  </si>
  <si>
    <t>Shujaat Khan</t>
  </si>
  <si>
    <t>Sameer Anwar</t>
  </si>
  <si>
    <t>Hasan Tariq</t>
  </si>
  <si>
    <t>Usman Shahid</t>
  </si>
  <si>
    <t>Iftikhar Ahmed</t>
  </si>
  <si>
    <t>Anees Qureshi</t>
  </si>
  <si>
    <t>Lahore</t>
  </si>
  <si>
    <t>Karachi</t>
  </si>
  <si>
    <t>Sialkot</t>
  </si>
  <si>
    <t>Islamabad</t>
  </si>
  <si>
    <t>Rawalpindi</t>
  </si>
  <si>
    <t>Faislabad</t>
  </si>
  <si>
    <t>Multan</t>
  </si>
  <si>
    <t>Sargodha</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</si>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</sst>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5" tint="0.39997558519241921"/>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5"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1" xfId="0" applyFill="1" applyBorder="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5" borderId="0" xfId="0" applyFill="1"/>
    <xf numFmtId="0" fontId="5" fillId="5" borderId="0" xfId="0" applyFont="1" applyFill="1"/>
  </cellXfs>
  <cellStyles count="2">
    <cellStyle name="Normal" xfId="0" builtinId="0"/>
    <cellStyle name="Percent" xfId="1" builtinId="5"/>
  </cellStyles>
  <dxfs count="1">
    <dxf>
      <fill>
        <patternFill>
          <bgColor theme="1"/>
        </patternFill>
      </fill>
    </dxf>
  </dxfs>
  <tableStyles count="1" defaultTableStyle="TableStyleMedium2" defaultPivotStyle="PivotStyleLight16">
    <tableStyle name="Slicer Style 1" pivot="0" table="0" count="5" xr9:uid="{E7946168-84CE-49AD-8C1B-7F216782F498}">
      <tableStyleElement type="wholeTable" dxfId="0"/>
    </tableStyle>
  </tableStyles>
  <extLst>
    <ext xmlns:x14="http://schemas.microsoft.com/office/spreadsheetml/2009/9/main" uri="{46F421CA-312F-682f-3DD2-61675219B42D}">
      <x14:dxfs count="4">
        <dxf>
          <fill>
            <patternFill>
              <bgColor rgb="FF00B0F0"/>
            </patternFill>
          </fill>
        </dxf>
        <dxf>
          <fill>
            <patternFill>
              <bgColor rgb="FF7030A0"/>
            </patternFill>
          </fill>
        </dxf>
        <dxf>
          <fill>
            <patternFill>
              <bgColor theme="8" tint="0.39994506668294322"/>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Project_1.xlsm]DASHBOARD!PivotTable1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47043540670055"/>
          <c:y val="0"/>
          <c:w val="0.81145505748943159"/>
          <c:h val="0.9503220358324775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Amir Jameel</c:v>
                </c:pt>
                <c:pt idx="1">
                  <c:v>Fahad Rasool</c:v>
                </c:pt>
                <c:pt idx="2">
                  <c:v>Hassan Siddiqui</c:v>
                </c:pt>
                <c:pt idx="3">
                  <c:v>Imtiaz Qamar</c:v>
                </c:pt>
                <c:pt idx="4">
                  <c:v>Usman Shahid</c:v>
                </c:pt>
              </c:strCache>
            </c:strRef>
          </c:cat>
          <c:val>
            <c:numRef>
              <c:f>DASHBOARD!$B$4:$B$8</c:f>
              <c:numCache>
                <c:formatCode>General</c:formatCode>
                <c:ptCount val="5"/>
                <c:pt idx="0">
                  <c:v>389</c:v>
                </c:pt>
                <c:pt idx="1">
                  <c:v>384</c:v>
                </c:pt>
                <c:pt idx="2">
                  <c:v>379</c:v>
                </c:pt>
                <c:pt idx="3">
                  <c:v>385</c:v>
                </c:pt>
                <c:pt idx="4">
                  <c:v>382</c:v>
                </c:pt>
              </c:numCache>
            </c:numRef>
          </c:val>
          <c:extLst>
            <c:ext xmlns:c16="http://schemas.microsoft.com/office/drawing/2014/chart" uri="{C3380CC4-5D6E-409C-BE32-E72D297353CC}">
              <c16:uniqueId val="{00000000-BBAE-4811-B497-668A1FE7FBF9}"/>
            </c:ext>
          </c:extLst>
        </c:ser>
        <c:dLbls>
          <c:showLegendKey val="0"/>
          <c:showVal val="0"/>
          <c:showCatName val="0"/>
          <c:showSerName val="0"/>
          <c:showPercent val="0"/>
          <c:showBubbleSize val="0"/>
        </c:dLbls>
        <c:gapWidth val="182"/>
        <c:axId val="1132403023"/>
        <c:axId val="1124546815"/>
      </c:barChart>
      <c:catAx>
        <c:axId val="1132403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PK"/>
          </a:p>
        </c:txPr>
        <c:crossAx val="1124546815"/>
        <c:crosses val="autoZero"/>
        <c:auto val="1"/>
        <c:lblAlgn val="ctr"/>
        <c:lblOffset val="100"/>
        <c:noMultiLvlLbl val="0"/>
      </c:catAx>
      <c:valAx>
        <c:axId val="1124546815"/>
        <c:scaling>
          <c:orientation val="minMax"/>
        </c:scaling>
        <c:delete val="1"/>
        <c:axPos val="b"/>
        <c:numFmt formatCode="General" sourceLinked="1"/>
        <c:majorTickMark val="none"/>
        <c:minorTickMark val="none"/>
        <c:tickLblPos val="nextTo"/>
        <c:crossAx val="113240302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Project_1.xlsm]DASHBOARD!PivotTable3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PK"/>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AD2-40B9-B7CE-2FCEC67149D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AD2-40B9-B7CE-2FCEC67149D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AD2-40B9-B7CE-2FCEC67149D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AD2-40B9-B7CE-2FCEC67149D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AD2-40B9-B7CE-2FCEC67149D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PK"/>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Moiz Anwar</c:v>
                </c:pt>
                <c:pt idx="1">
                  <c:v>Mustafa Rizvi</c:v>
                </c:pt>
                <c:pt idx="2">
                  <c:v>Saad Alam</c:v>
                </c:pt>
                <c:pt idx="3">
                  <c:v>Wasif Abbas</c:v>
                </c:pt>
                <c:pt idx="4">
                  <c:v>Zarar Javed</c:v>
                </c:pt>
              </c:strCache>
            </c:strRef>
          </c:cat>
          <c:val>
            <c:numRef>
              <c:f>DASHBOARD!$H$4:$H$8</c:f>
              <c:numCache>
                <c:formatCode>0.00%</c:formatCode>
                <c:ptCount val="5"/>
                <c:pt idx="0">
                  <c:v>0.68200000000000005</c:v>
                </c:pt>
                <c:pt idx="1">
                  <c:v>0.67</c:v>
                </c:pt>
                <c:pt idx="2">
                  <c:v>0.73399999999999999</c:v>
                </c:pt>
                <c:pt idx="3">
                  <c:v>0.69199999999999995</c:v>
                </c:pt>
                <c:pt idx="4">
                  <c:v>0.69799999999999995</c:v>
                </c:pt>
              </c:numCache>
            </c:numRef>
          </c:val>
          <c:extLst>
            <c:ext xmlns:c16="http://schemas.microsoft.com/office/drawing/2014/chart" uri="{C3380CC4-5D6E-409C-BE32-E72D297353CC}">
              <c16:uniqueId val="{00000000-D93C-42EB-8FAE-3665A39E3B9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Project_1.xlsm]DASHBOARD!PivotTable4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441512398173662E-2"/>
          <c:y val="0.10983984332206426"/>
          <c:w val="0.84402604944186288"/>
          <c:h val="0.55871915018748686"/>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Irfan Lodhi</c:v>
                </c:pt>
                <c:pt idx="1">
                  <c:v>Irfan Zubair</c:v>
                </c:pt>
                <c:pt idx="2">
                  <c:v>Kashif Nisar</c:v>
                </c:pt>
                <c:pt idx="3">
                  <c:v>Shahzeb Rizvi</c:v>
                </c:pt>
                <c:pt idx="4">
                  <c:v>Zain Abbasi</c:v>
                </c:pt>
              </c:strCache>
            </c:strRef>
          </c:cat>
          <c:val>
            <c:numRef>
              <c:f>DASHBOARD!$K$4:$K$8</c:f>
              <c:numCache>
                <c:formatCode>0.00%</c:formatCode>
                <c:ptCount val="5"/>
                <c:pt idx="0">
                  <c:v>0.66799999999999993</c:v>
                </c:pt>
                <c:pt idx="1">
                  <c:v>0.65799999999999992</c:v>
                </c:pt>
                <c:pt idx="2">
                  <c:v>0.56600000000000006</c:v>
                </c:pt>
                <c:pt idx="3">
                  <c:v>0.52800000000000002</c:v>
                </c:pt>
                <c:pt idx="4">
                  <c:v>0.57400000000000007</c:v>
                </c:pt>
              </c:numCache>
            </c:numRef>
          </c:val>
          <c:smooth val="0"/>
          <c:extLst>
            <c:ext xmlns:c16="http://schemas.microsoft.com/office/drawing/2014/chart" uri="{C3380CC4-5D6E-409C-BE32-E72D297353CC}">
              <c16:uniqueId val="{00000000-3605-43C5-A256-53B4DD5B683C}"/>
            </c:ext>
          </c:extLst>
        </c:ser>
        <c:dLbls>
          <c:showLegendKey val="0"/>
          <c:showVal val="0"/>
          <c:showCatName val="0"/>
          <c:showSerName val="0"/>
          <c:showPercent val="0"/>
          <c:showBubbleSize val="0"/>
        </c:dLbls>
        <c:smooth val="0"/>
        <c:axId val="1188619279"/>
        <c:axId val="1130572463"/>
      </c:lineChart>
      <c:catAx>
        <c:axId val="1188619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PK"/>
          </a:p>
        </c:txPr>
        <c:crossAx val="1130572463"/>
        <c:crosses val="autoZero"/>
        <c:auto val="1"/>
        <c:lblAlgn val="ctr"/>
        <c:lblOffset val="100"/>
        <c:noMultiLvlLbl val="0"/>
      </c:catAx>
      <c:valAx>
        <c:axId val="1130572463"/>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1886192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28575</xdr:colOff>
      <xdr:row>8</xdr:row>
      <xdr:rowOff>38101</xdr:rowOff>
    </xdr:from>
    <xdr:to>
      <xdr:col>4</xdr:col>
      <xdr:colOff>1038225</xdr:colOff>
      <xdr:row>18</xdr:row>
      <xdr:rowOff>133351</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9526</xdr:colOff>
      <xdr:row>8</xdr:row>
      <xdr:rowOff>28575</xdr:rowOff>
    </xdr:from>
    <xdr:to>
      <xdr:col>8</xdr:col>
      <xdr:colOff>0</xdr:colOff>
      <xdr:row>18</xdr:row>
      <xdr:rowOff>114300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9525</xdr:colOff>
      <xdr:row>8</xdr:row>
      <xdr:rowOff>28576</xdr:rowOff>
    </xdr:from>
    <xdr:to>
      <xdr:col>10</xdr:col>
      <xdr:colOff>1552575</xdr:colOff>
      <xdr:row>18</xdr:row>
      <xdr:rowOff>114300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38100</xdr:colOff>
      <xdr:row>0</xdr:row>
      <xdr:rowOff>133351</xdr:rowOff>
    </xdr:from>
    <xdr:to>
      <xdr:col>10</xdr:col>
      <xdr:colOff>1495425</xdr:colOff>
      <xdr:row>1</xdr:row>
      <xdr:rowOff>446851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8100" y="133351"/>
              <a:ext cx="10344150" cy="504000"/>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504825</xdr:colOff>
      <xdr:row>1</xdr:row>
      <xdr:rowOff>581024</xdr:rowOff>
    </xdr:from>
    <xdr:to>
      <xdr:col>1</xdr:col>
      <xdr:colOff>561975</xdr:colOff>
      <xdr:row>1</xdr:row>
      <xdr:rowOff>1028699</xdr:rowOff>
    </xdr:to>
    <xdr:sp macro="" textlink="">
      <xdr:nvSpPr>
        <xdr:cNvPr id="13" name="Speech Bubble: Rectangle 12">
          <a:extLst>
            <a:ext uri="{FF2B5EF4-FFF2-40B4-BE49-F238E27FC236}">
              <a16:creationId xmlns:a16="http://schemas.microsoft.com/office/drawing/2014/main" id="{00000000-0008-0000-0000-00000D000000}"/>
            </a:ext>
          </a:extLst>
        </xdr:cNvPr>
        <xdr:cNvSpPr/>
      </xdr:nvSpPr>
      <xdr:spPr>
        <a:xfrm>
          <a:off x="504825" y="771524"/>
          <a:ext cx="1400175" cy="447675"/>
        </a:xfrm>
        <a:prstGeom prst="wedge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0</xdr:col>
          <xdr:colOff>781050</xdr:colOff>
          <xdr:row>1</xdr:row>
          <xdr:rowOff>733425</xdr:rowOff>
        </xdr:from>
        <xdr:to>
          <xdr:col>1</xdr:col>
          <xdr:colOff>485775</xdr:colOff>
          <xdr:row>1</xdr:row>
          <xdr:rowOff>952500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542925</xdr:colOff>
      <xdr:row>1</xdr:row>
      <xdr:rowOff>581025</xdr:rowOff>
    </xdr:from>
    <xdr:to>
      <xdr:col>4</xdr:col>
      <xdr:colOff>523875</xdr:colOff>
      <xdr:row>1</xdr:row>
      <xdr:rowOff>1028700</xdr:rowOff>
    </xdr:to>
    <xdr:sp macro="" textlink="">
      <xdr:nvSpPr>
        <xdr:cNvPr id="20" name="Speech Bubble: Rectangle 19">
          <a:extLst>
            <a:ext uri="{FF2B5EF4-FFF2-40B4-BE49-F238E27FC236}">
              <a16:creationId xmlns:a16="http://schemas.microsoft.com/office/drawing/2014/main" id="{00000000-0008-0000-0000-000014000000}"/>
            </a:ext>
          </a:extLst>
        </xdr:cNvPr>
        <xdr:cNvSpPr/>
      </xdr:nvSpPr>
      <xdr:spPr>
        <a:xfrm>
          <a:off x="2847975" y="771525"/>
          <a:ext cx="1400175" cy="447675"/>
        </a:xfrm>
        <a:prstGeom prst="wedge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3</xdr:col>
          <xdr:colOff>819150</xdr:colOff>
          <xdr:row>1</xdr:row>
          <xdr:rowOff>723900</xdr:rowOff>
        </xdr:from>
        <xdr:to>
          <xdr:col>4</xdr:col>
          <xdr:colOff>361950</xdr:colOff>
          <xdr:row>1</xdr:row>
          <xdr:rowOff>981075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571500</xdr:colOff>
      <xdr:row>1</xdr:row>
      <xdr:rowOff>581025</xdr:rowOff>
    </xdr:from>
    <xdr:to>
      <xdr:col>7</xdr:col>
      <xdr:colOff>638175</xdr:colOff>
      <xdr:row>1</xdr:row>
      <xdr:rowOff>1028700</xdr:rowOff>
    </xdr:to>
    <xdr:sp macro="" textlink="">
      <xdr:nvSpPr>
        <xdr:cNvPr id="23" name="Speech Bubble: Rectangle 22">
          <a:extLst>
            <a:ext uri="{FF2B5EF4-FFF2-40B4-BE49-F238E27FC236}">
              <a16:creationId xmlns:a16="http://schemas.microsoft.com/office/drawing/2014/main" id="{00000000-0008-0000-0000-000017000000}"/>
            </a:ext>
          </a:extLst>
        </xdr:cNvPr>
        <xdr:cNvSpPr/>
      </xdr:nvSpPr>
      <xdr:spPr>
        <a:xfrm>
          <a:off x="5448300" y="771525"/>
          <a:ext cx="1400175" cy="447675"/>
        </a:xfrm>
        <a:prstGeom prst="wedge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6</xdr:col>
          <xdr:colOff>828675</xdr:colOff>
          <xdr:row>1</xdr:row>
          <xdr:rowOff>733425</xdr:rowOff>
        </xdr:from>
        <xdr:to>
          <xdr:col>7</xdr:col>
          <xdr:colOff>428625</xdr:colOff>
          <xdr:row>1</xdr:row>
          <xdr:rowOff>981075</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866775</xdr:colOff>
      <xdr:row>1</xdr:row>
      <xdr:rowOff>581025</xdr:rowOff>
    </xdr:from>
    <xdr:to>
      <xdr:col>10</xdr:col>
      <xdr:colOff>828675</xdr:colOff>
      <xdr:row>1</xdr:row>
      <xdr:rowOff>1028700</xdr:rowOff>
    </xdr:to>
    <xdr:sp macro="" textlink="">
      <xdr:nvSpPr>
        <xdr:cNvPr id="25" name="Speech Bubble: Rectangle 24">
          <a:extLst>
            <a:ext uri="{FF2B5EF4-FFF2-40B4-BE49-F238E27FC236}">
              <a16:creationId xmlns:a16="http://schemas.microsoft.com/office/drawing/2014/main" id="{00000000-0008-0000-0000-000019000000}"/>
            </a:ext>
          </a:extLst>
        </xdr:cNvPr>
        <xdr:cNvSpPr/>
      </xdr:nvSpPr>
      <xdr:spPr>
        <a:xfrm>
          <a:off x="8315325" y="771525"/>
          <a:ext cx="1400175" cy="447675"/>
        </a:xfrm>
        <a:prstGeom prst="wedgeRectCallou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9</xdr:col>
          <xdr:colOff>1152525</xdr:colOff>
          <xdr:row>1</xdr:row>
          <xdr:rowOff>723900</xdr:rowOff>
        </xdr:from>
        <xdr:to>
          <xdr:col>10</xdr:col>
          <xdr:colOff>752475</xdr:colOff>
          <xdr:row>1</xdr:row>
          <xdr:rowOff>1019175</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 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volix.co" refreshedDate="45848.275864583331" createdVersion="6" refreshedVersion="6" minRefreshableVersion="3" recordCount="141" xr:uid="{A780DD2B-9993-4219-B8D5-E77687E877F8}">
  <cacheSource type="worksheet">
    <worksheetSource ref="A1:L142" sheet="RAW_DATA"/>
  </cacheSource>
  <cacheFields count="12">
    <cacheField name="Emp Code" numFmtId="14">
      <sharedItems/>
    </cacheField>
    <cacheField name="Sales Executive" numFmtId="0">
      <sharedItems count="141">
        <s v="Ahmed Khan"/>
        <s v="Bilal Qureshi"/>
        <s v="Hassan Siddiqui"/>
        <s v="Imran Farooqi"/>
        <s v="Zain Abbasi"/>
        <s v="Khalid Ansari"/>
        <s v="Farhan Jafri"/>
        <s v="Usman Mirza"/>
        <s v="Salman Chishti"/>
        <s v="Taha Hussain"/>
        <s v="Yousuf Khan"/>
        <s v="Danish Qadri"/>
        <s v="Noman Baig"/>
        <s v="Faizan Raza"/>
        <s v="Shoaib Ahmed"/>
        <s v="Ahsan Shah"/>
        <s v="Adnan Malik"/>
        <s v="Waqar Hashmi"/>
        <s v="Hamza Tariq"/>
        <s v="Shayan Akhtar"/>
        <s v="Saad Alam"/>
        <s v="Owais Siddiqui"/>
        <s v="Haris Nadeem"/>
        <s v="Arsalan Khan"/>
        <s v="Zeeshan Qureshi"/>
        <s v="Junaid Farooq"/>
        <s v="Asad Mehmood"/>
        <s v="Rayan Sheikh"/>
        <s v="Moiz Anwar"/>
        <s v="Talha Iqbal"/>
        <s v="Rehan Saeed"/>
        <s v="Rizwan Arif"/>
        <s v="Zubair Ali"/>
        <s v="Naveed Azam"/>
        <s v="Ibrahim Shahbaz"/>
        <s v="Umar Qasim"/>
        <s v="Mustafa Rizvi"/>
        <s v="Sameer Gillani"/>
        <s v="Adeel Nasir"/>
        <s v="Bashir Haider"/>
        <s v="Kamran Yasin"/>
        <s v="Ayaz Rauf"/>
        <s v="Aftab Karim"/>
        <s v="Mazhar Noor"/>
        <s v="Sohail Irfan"/>
        <s v="Sufyan Tahir"/>
        <s v="Waqas Amin"/>
        <s v="Hammad Latif"/>
        <s v="Shahbaz Suleman"/>
        <s v="Ismail Dar"/>
        <s v="Luqman Bashir"/>
        <s v="Tariq Javed"/>
        <s v="Anas Waleed"/>
        <s v="Nabeel Rasheed"/>
        <s v="Rauf Aslam"/>
        <s v="Fawad Riaz"/>
        <s v="Haider Asad"/>
        <s v="Saifullah Baig"/>
        <s v="Khizar Noman"/>
        <s v="Ubaid Rehman"/>
        <s v="Kashif Nisar"/>
        <s v="Zaid Tanveer"/>
        <s v="Haroon Gillani"/>
        <s v="Imtiaz Qamar"/>
        <s v="Rameez Aftab"/>
        <s v="Salman Nawaz"/>
        <s v="Adil Hussain"/>
        <s v="Tauseef Raza"/>
        <s v="Irfan Zubair"/>
        <s v="Shakeel Abbas"/>
        <s v="Noman Qadri"/>
        <s v="Rehman Saif"/>
        <s v="Mehmood Iqbal"/>
        <s v="Arsalan Zubair"/>
        <s v="Usama Noor"/>
        <s v="Aymaan Riaz"/>
        <s v="Zohaib Yousaf"/>
        <s v="Shahid Ilyas"/>
        <s v="Abrar Nawaz"/>
        <s v="Babar Hashim"/>
        <s v="Daniyal Usman"/>
        <s v="Raheel Qureshi"/>
        <s v="Muneeb Ali"/>
        <s v="Fahad Rasool"/>
        <s v="Zarar Javed"/>
        <s v="Raza Mir"/>
        <s v="Jibran Karim"/>
        <s v="Umair Zia"/>
        <s v="Akbar Kazmi"/>
        <s v="Shabbir Haider"/>
        <s v="Amir Sohail"/>
        <s v="Furqan Shah"/>
        <s v="Waleed Baig"/>
        <s v="Ahsan Hayat"/>
        <s v="Haseeb Rauf"/>
        <s v="Shayan Rafiq"/>
        <s v="Tahir Khalid"/>
        <s v="Noman Shah"/>
        <s v="Sarfaraz Nawaz"/>
        <s v="Shah Rukh"/>
        <s v="Zafar Ali"/>
        <s v="Mahir Rauf"/>
        <s v="Imran Murtaza"/>
        <s v="Arham Waleed"/>
        <s v="Sarmad Khan"/>
        <s v="Taimoor Anwar"/>
        <s v="Faiz Haider"/>
        <s v="Usman Haqqani"/>
        <s v="Shahzeb Rizvi"/>
        <s v="Azhar Iqbal"/>
        <s v="Yawar Rehman"/>
        <s v="Amir Jameel"/>
        <s v="Junaid Irfan"/>
        <s v="Umar Khalil"/>
        <s v="Waqas Tanveer"/>
        <s v="Awais Zubair"/>
        <s v="Irfan Lodhi"/>
        <s v="Kamal Mustafa"/>
        <s v="Mustafa Khalid"/>
        <s v="Rashid Qamar"/>
        <s v="Khalil Haqqani"/>
        <s v="Adnan Zaki"/>
        <s v="Saifuddin Noor"/>
        <s v="Nauman Saeed"/>
        <s v="Zia Murtaza"/>
        <s v="Fahim Ahmed"/>
        <s v="Daniyal Iqbal"/>
        <s v="Arif Sadiq"/>
        <s v="Khurram Riaz"/>
        <s v="Hamid Ali"/>
        <s v="Salman Junaid"/>
        <s v="Bilal Javed"/>
        <s v="Wasif Abbas"/>
        <s v="Shahbaz Ali"/>
        <s v="Shujaat Khan"/>
        <s v="Sameer Anwar"/>
        <s v="Hasan Tariq"/>
        <s v="Usman Shahid"/>
        <s v="Iftikhar Ahmed"/>
        <s v="Anees Qureshi"/>
        <s v="Abdul Hamid"/>
      </sharedItems>
    </cacheField>
    <cacheField name="Region" numFmtId="0">
      <sharedItems count="8">
        <s v="Lahore"/>
        <s v="Karachi"/>
        <s v="Sialkot"/>
        <s v="Islamabad"/>
        <s v="Rawalpindi"/>
        <s v="Faislabad"/>
        <s v="Multan"/>
        <s v="Sargodha"/>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390727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F885DF8-3C01-40DA-9988-73B80D404C1A}"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78"/>
        <item x="38"/>
        <item x="66"/>
        <item x="16"/>
        <item x="121"/>
        <item x="42"/>
        <item x="0"/>
        <item x="93"/>
        <item x="15"/>
        <item x="88"/>
        <item x="111"/>
        <item x="90"/>
        <item x="52"/>
        <item x="139"/>
        <item x="103"/>
        <item x="127"/>
        <item x="23"/>
        <item x="73"/>
        <item x="26"/>
        <item x="115"/>
        <item x="41"/>
        <item x="75"/>
        <item x="109"/>
        <item x="79"/>
        <item x="39"/>
        <item x="131"/>
        <item x="1"/>
        <item x="11"/>
        <item x="126"/>
        <item x="80"/>
        <item x="83"/>
        <item x="125"/>
        <item x="106"/>
        <item x="13"/>
        <item x="6"/>
        <item x="55"/>
        <item x="91"/>
        <item x="56"/>
        <item x="129"/>
        <item x="47"/>
        <item x="18"/>
        <item x="22"/>
        <item x="62"/>
        <item x="136"/>
        <item x="94"/>
        <item x="2"/>
        <item x="34"/>
        <item x="138"/>
        <item x="3"/>
        <item x="102"/>
        <item x="63"/>
        <item x="116"/>
        <item x="68"/>
        <item x="49"/>
        <item x="86"/>
        <item x="25"/>
        <item x="112"/>
        <item x="117"/>
        <item x="40"/>
        <item x="60"/>
        <item x="5"/>
        <item x="120"/>
        <item x="58"/>
        <item x="128"/>
        <item x="50"/>
        <item x="101"/>
        <item x="43"/>
        <item x="72"/>
        <item x="28"/>
        <item x="82"/>
        <item x="118"/>
        <item x="36"/>
        <item x="53"/>
        <item x="123"/>
        <item x="33"/>
        <item x="12"/>
        <item x="70"/>
        <item x="97"/>
        <item x="21"/>
        <item x="81"/>
        <item x="64"/>
        <item x="119"/>
        <item x="54"/>
        <item x="27"/>
        <item x="85"/>
        <item x="30"/>
        <item x="71"/>
        <item x="31"/>
        <item x="20"/>
        <item x="122"/>
        <item x="57"/>
        <item x="8"/>
        <item x="130"/>
        <item x="65"/>
        <item x="135"/>
        <item x="37"/>
        <item x="98"/>
        <item x="104"/>
        <item x="89"/>
        <item x="99"/>
        <item x="133"/>
        <item x="48"/>
        <item x="77"/>
        <item x="108"/>
        <item x="69"/>
        <item x="19"/>
        <item x="95"/>
        <item x="14"/>
        <item x="134"/>
        <item x="44"/>
        <item x="45"/>
        <item x="9"/>
        <item x="96"/>
        <item x="105"/>
        <item x="29"/>
        <item x="51"/>
        <item x="67"/>
        <item x="59"/>
        <item x="87"/>
        <item x="113"/>
        <item x="35"/>
        <item x="74"/>
        <item x="107"/>
        <item x="7"/>
        <item x="137"/>
        <item x="92"/>
        <item x="17"/>
        <item x="46"/>
        <item x="114"/>
        <item x="132"/>
        <item x="110"/>
        <item x="10"/>
        <item x="100"/>
        <item x="61"/>
        <item x="4"/>
        <item x="84"/>
        <item x="24"/>
        <item x="124"/>
        <item x="76"/>
        <item x="32"/>
        <item t="default"/>
      </items>
    </pivotField>
    <pivotField showAll="0">
      <items count="9">
        <item h="1" x="5"/>
        <item h="1" x="3"/>
        <item h="1" x="1"/>
        <item h="1" x="0"/>
        <item h="1" x="6"/>
        <item x="4"/>
        <item h="1" x="7"/>
        <item h="1" x="2"/>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69"/>
    </i>
    <i>
      <x v="72"/>
    </i>
    <i>
      <x v="89"/>
    </i>
    <i>
      <x v="130"/>
    </i>
    <i>
      <x v="136"/>
    </i>
  </rowItems>
  <colItems count="1">
    <i/>
  </colItems>
  <dataFields count="1">
    <dataField name="Target Hit % wise" fld="10" baseField="1" baseItem="11"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1"/>
          </reference>
        </references>
      </pivotArea>
    </chartFormat>
    <chartFormat chart="0" format="2">
      <pivotArea type="data" outline="0" fieldPosition="0">
        <references count="2">
          <reference field="4294967294" count="1" selected="0">
            <x v="0"/>
          </reference>
          <reference field="1" count="1" selected="0">
            <x v="31"/>
          </reference>
        </references>
      </pivotArea>
    </chartFormat>
    <chartFormat chart="0" format="3">
      <pivotArea type="data" outline="0" fieldPosition="0">
        <references count="2">
          <reference field="4294967294" count="1" selected="0">
            <x v="0"/>
          </reference>
          <reference field="1" count="1" selected="0">
            <x v="46"/>
          </reference>
        </references>
      </pivotArea>
    </chartFormat>
    <chartFormat chart="0" format="4">
      <pivotArea type="data" outline="0" fieldPosition="0">
        <references count="2">
          <reference field="4294967294" count="1" selected="0">
            <x v="0"/>
          </reference>
          <reference field="1" count="1" selected="0">
            <x v="51"/>
          </reference>
        </references>
      </pivotArea>
    </chartFormat>
    <chartFormat chart="0" format="5">
      <pivotArea type="data" outline="0" fieldPosition="0">
        <references count="2">
          <reference field="4294967294" count="1" selected="0">
            <x v="0"/>
          </reference>
          <reference field="1" count="1" selected="0">
            <x v="125"/>
          </reference>
        </references>
      </pivotArea>
    </chartFormat>
    <chartFormat chart="0" format="6">
      <pivotArea type="data" outline="0" fieldPosition="0">
        <references count="2">
          <reference field="4294967294" count="1" selected="0">
            <x v="0"/>
          </reference>
          <reference field="1" count="1" selected="0">
            <x v="69"/>
          </reference>
        </references>
      </pivotArea>
    </chartFormat>
    <chartFormat chart="0" format="7">
      <pivotArea type="data" outline="0" fieldPosition="0">
        <references count="2">
          <reference field="4294967294" count="1" selected="0">
            <x v="0"/>
          </reference>
          <reference field="1" count="1" selected="0">
            <x v="72"/>
          </reference>
        </references>
      </pivotArea>
    </chartFormat>
    <chartFormat chart="0" format="8">
      <pivotArea type="data" outline="0" fieldPosition="0">
        <references count="2">
          <reference field="4294967294" count="1" selected="0">
            <x v="0"/>
          </reference>
          <reference field="1" count="1" selected="0">
            <x v="89"/>
          </reference>
        </references>
      </pivotArea>
    </chartFormat>
    <chartFormat chart="0" format="9">
      <pivotArea type="data" outline="0" fieldPosition="0">
        <references count="2">
          <reference field="4294967294" count="1" selected="0">
            <x v="0"/>
          </reference>
          <reference field="1" count="1" selected="0">
            <x v="130"/>
          </reference>
        </references>
      </pivotArea>
    </chartFormat>
    <chartFormat chart="0" format="10">
      <pivotArea type="data" outline="0" fieldPosition="0">
        <references count="2">
          <reference field="4294967294" count="1" selected="0">
            <x v="0"/>
          </reference>
          <reference field="1" count="1" selected="0">
            <x v="136"/>
          </reference>
        </references>
      </pivotArea>
    </chartFormat>
  </chartFormats>
  <pivotTableStyleInfo name="PivotStyleMedium2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023AF15-1CB7-4A13-B8C7-93E177A32E2E}"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78"/>
        <item x="38"/>
        <item x="66"/>
        <item x="16"/>
        <item x="121"/>
        <item x="42"/>
        <item x="0"/>
        <item x="93"/>
        <item x="15"/>
        <item x="88"/>
        <item x="111"/>
        <item x="90"/>
        <item x="52"/>
        <item x="139"/>
        <item x="103"/>
        <item x="127"/>
        <item x="23"/>
        <item x="73"/>
        <item x="26"/>
        <item x="115"/>
        <item x="41"/>
        <item x="75"/>
        <item x="109"/>
        <item x="79"/>
        <item x="39"/>
        <item x="131"/>
        <item x="1"/>
        <item x="11"/>
        <item x="126"/>
        <item x="80"/>
        <item x="83"/>
        <item x="125"/>
        <item x="106"/>
        <item x="13"/>
        <item x="6"/>
        <item x="55"/>
        <item x="91"/>
        <item x="56"/>
        <item x="129"/>
        <item x="47"/>
        <item x="18"/>
        <item x="22"/>
        <item x="62"/>
        <item x="136"/>
        <item x="94"/>
        <item x="2"/>
        <item x="34"/>
        <item x="138"/>
        <item x="3"/>
        <item x="102"/>
        <item x="63"/>
        <item x="116"/>
        <item x="68"/>
        <item x="49"/>
        <item x="86"/>
        <item x="25"/>
        <item x="112"/>
        <item x="117"/>
        <item x="40"/>
        <item x="60"/>
        <item x="5"/>
        <item x="120"/>
        <item x="58"/>
        <item x="128"/>
        <item x="50"/>
        <item x="101"/>
        <item x="43"/>
        <item x="72"/>
        <item x="28"/>
        <item x="82"/>
        <item x="118"/>
        <item x="36"/>
        <item x="53"/>
        <item x="123"/>
        <item x="33"/>
        <item x="12"/>
        <item x="70"/>
        <item x="97"/>
        <item x="21"/>
        <item x="81"/>
        <item x="64"/>
        <item x="119"/>
        <item x="54"/>
        <item x="27"/>
        <item x="85"/>
        <item x="30"/>
        <item x="71"/>
        <item x="31"/>
        <item x="20"/>
        <item x="122"/>
        <item x="57"/>
        <item x="8"/>
        <item x="130"/>
        <item x="65"/>
        <item x="135"/>
        <item x="37"/>
        <item x="98"/>
        <item x="104"/>
        <item x="89"/>
        <item x="99"/>
        <item x="133"/>
        <item x="48"/>
        <item x="77"/>
        <item x="108"/>
        <item x="69"/>
        <item x="19"/>
        <item x="95"/>
        <item x="14"/>
        <item x="134"/>
        <item x="44"/>
        <item x="45"/>
        <item x="9"/>
        <item x="96"/>
        <item x="105"/>
        <item x="29"/>
        <item x="51"/>
        <item x="67"/>
        <item x="59"/>
        <item x="87"/>
        <item x="113"/>
        <item x="35"/>
        <item x="74"/>
        <item x="107"/>
        <item x="7"/>
        <item x="137"/>
        <item x="92"/>
        <item x="17"/>
        <item x="46"/>
        <item x="114"/>
        <item x="132"/>
        <item x="110"/>
        <item x="10"/>
        <item x="100"/>
        <item x="61"/>
        <item x="4"/>
        <item x="84"/>
        <item x="24"/>
        <item x="124"/>
        <item x="76"/>
        <item x="32"/>
        <item t="default"/>
      </items>
    </pivotField>
    <pivotField showAll="0">
      <items count="9">
        <item h="1" x="5"/>
        <item h="1" x="3"/>
        <item h="1" x="1"/>
        <item h="1" x="0"/>
        <item x="6"/>
        <item h="1" x="4"/>
        <item h="1" x="7"/>
        <item h="1" x="2"/>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2"/>
    </i>
    <i>
      <x v="53"/>
    </i>
    <i>
      <x v="68"/>
    </i>
    <i>
      <x v="77"/>
    </i>
    <i>
      <x v="94"/>
    </i>
  </rowItems>
  <colItems count="1">
    <i/>
  </colItems>
  <dataFields count="1">
    <dataField name="Total Sales " fld="8" baseField="1" baseItem="11"/>
  </dataField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308EC2D-5B7D-4B3B-A61A-CF0CF3CB22D4}"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78"/>
        <item x="38"/>
        <item x="66"/>
        <item x="16"/>
        <item x="121"/>
        <item x="42"/>
        <item x="0"/>
        <item x="93"/>
        <item x="15"/>
        <item x="88"/>
        <item x="111"/>
        <item x="90"/>
        <item x="52"/>
        <item x="139"/>
        <item x="103"/>
        <item x="127"/>
        <item x="23"/>
        <item x="73"/>
        <item x="26"/>
        <item x="115"/>
        <item x="41"/>
        <item x="75"/>
        <item x="109"/>
        <item x="79"/>
        <item x="39"/>
        <item x="131"/>
        <item x="1"/>
        <item x="11"/>
        <item x="126"/>
        <item x="80"/>
        <item x="83"/>
        <item x="125"/>
        <item x="106"/>
        <item x="13"/>
        <item x="6"/>
        <item x="55"/>
        <item x="91"/>
        <item x="56"/>
        <item x="129"/>
        <item x="47"/>
        <item x="18"/>
        <item x="22"/>
        <item x="62"/>
        <item x="136"/>
        <item x="94"/>
        <item x="2"/>
        <item x="34"/>
        <item x="138"/>
        <item x="3"/>
        <item x="102"/>
        <item x="63"/>
        <item x="116"/>
        <item x="68"/>
        <item x="49"/>
        <item x="86"/>
        <item x="25"/>
        <item x="112"/>
        <item x="117"/>
        <item x="40"/>
        <item x="60"/>
        <item x="5"/>
        <item x="120"/>
        <item x="58"/>
        <item x="128"/>
        <item x="50"/>
        <item x="101"/>
        <item x="43"/>
        <item x="72"/>
        <item x="28"/>
        <item x="82"/>
        <item x="118"/>
        <item x="36"/>
        <item x="53"/>
        <item x="123"/>
        <item x="33"/>
        <item x="12"/>
        <item x="70"/>
        <item x="97"/>
        <item x="21"/>
        <item x="81"/>
        <item x="64"/>
        <item x="119"/>
        <item x="54"/>
        <item x="27"/>
        <item x="85"/>
        <item x="30"/>
        <item x="71"/>
        <item x="31"/>
        <item x="20"/>
        <item x="122"/>
        <item x="57"/>
        <item x="8"/>
        <item x="130"/>
        <item x="65"/>
        <item x="135"/>
        <item x="37"/>
        <item x="98"/>
        <item x="104"/>
        <item x="89"/>
        <item x="99"/>
        <item x="133"/>
        <item x="48"/>
        <item x="77"/>
        <item x="108"/>
        <item x="69"/>
        <item x="19"/>
        <item x="95"/>
        <item x="14"/>
        <item x="134"/>
        <item x="44"/>
        <item x="45"/>
        <item x="9"/>
        <item x="96"/>
        <item x="105"/>
        <item x="29"/>
        <item x="51"/>
        <item x="67"/>
        <item x="59"/>
        <item x="87"/>
        <item x="113"/>
        <item x="35"/>
        <item x="74"/>
        <item x="107"/>
        <item x="7"/>
        <item x="137"/>
        <item x="92"/>
        <item x="17"/>
        <item x="46"/>
        <item x="114"/>
        <item x="132"/>
        <item x="110"/>
        <item x="10"/>
        <item x="100"/>
        <item x="61"/>
        <item x="4"/>
        <item x="84"/>
        <item x="24"/>
        <item x="124"/>
        <item x="76"/>
        <item x="32"/>
        <item t="default"/>
      </items>
    </pivotField>
    <pivotField showAll="0">
      <items count="9">
        <item h="1" x="5"/>
        <item h="1" x="3"/>
        <item h="1" x="1"/>
        <item h="1" x="0"/>
        <item x="6"/>
        <item h="1" x="4"/>
        <item h="1" x="7"/>
        <item h="1" x="2"/>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1"/>
    </i>
    <i>
      <x v="31"/>
    </i>
    <i>
      <x v="46"/>
    </i>
    <i>
      <x v="51"/>
    </i>
    <i>
      <x v="125"/>
    </i>
  </rowItems>
  <colItems count="1">
    <i/>
  </colItems>
  <dataFields count="1">
    <dataField name="Total Sales " fld="8" baseField="1" baseItem="11"/>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86E8D7-DB53-4A3F-BB74-93BED2042306}"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78"/>
        <item x="38"/>
        <item x="66"/>
        <item x="16"/>
        <item x="121"/>
        <item x="42"/>
        <item x="0"/>
        <item x="93"/>
        <item x="15"/>
        <item x="88"/>
        <item x="111"/>
        <item x="90"/>
        <item x="52"/>
        <item x="139"/>
        <item x="103"/>
        <item x="127"/>
        <item x="23"/>
        <item x="73"/>
        <item x="26"/>
        <item x="115"/>
        <item x="41"/>
        <item x="75"/>
        <item x="109"/>
        <item x="79"/>
        <item x="39"/>
        <item x="131"/>
        <item x="1"/>
        <item x="11"/>
        <item x="126"/>
        <item x="80"/>
        <item x="83"/>
        <item x="125"/>
        <item x="106"/>
        <item x="13"/>
        <item x="6"/>
        <item x="55"/>
        <item x="91"/>
        <item x="56"/>
        <item x="129"/>
        <item x="47"/>
        <item x="18"/>
        <item x="22"/>
        <item x="62"/>
        <item x="136"/>
        <item x="94"/>
        <item x="2"/>
        <item x="34"/>
        <item x="138"/>
        <item x="3"/>
        <item x="102"/>
        <item x="63"/>
        <item x="116"/>
        <item x="68"/>
        <item x="49"/>
        <item x="86"/>
        <item x="25"/>
        <item x="112"/>
        <item x="117"/>
        <item x="40"/>
        <item x="60"/>
        <item x="5"/>
        <item x="120"/>
        <item x="58"/>
        <item x="128"/>
        <item x="50"/>
        <item x="101"/>
        <item x="43"/>
        <item x="72"/>
        <item x="28"/>
        <item x="82"/>
        <item x="118"/>
        <item x="36"/>
        <item x="53"/>
        <item x="123"/>
        <item x="33"/>
        <item x="12"/>
        <item x="70"/>
        <item x="97"/>
        <item x="21"/>
        <item x="81"/>
        <item x="64"/>
        <item x="119"/>
        <item x="54"/>
        <item x="27"/>
        <item x="85"/>
        <item x="30"/>
        <item x="71"/>
        <item x="31"/>
        <item x="20"/>
        <item x="122"/>
        <item x="57"/>
        <item x="8"/>
        <item x="130"/>
        <item x="65"/>
        <item x="135"/>
        <item x="37"/>
        <item x="98"/>
        <item x="104"/>
        <item x="89"/>
        <item x="99"/>
        <item x="133"/>
        <item x="48"/>
        <item x="77"/>
        <item x="108"/>
        <item x="69"/>
        <item x="19"/>
        <item x="95"/>
        <item x="14"/>
        <item x="134"/>
        <item x="44"/>
        <item x="45"/>
        <item x="9"/>
        <item x="96"/>
        <item x="105"/>
        <item x="29"/>
        <item x="51"/>
        <item x="67"/>
        <item x="59"/>
        <item x="87"/>
        <item x="113"/>
        <item x="35"/>
        <item x="74"/>
        <item x="107"/>
        <item x="7"/>
        <item x="137"/>
        <item x="92"/>
        <item x="17"/>
        <item x="46"/>
        <item x="114"/>
        <item x="132"/>
        <item x="110"/>
        <item x="10"/>
        <item x="100"/>
        <item x="61"/>
        <item x="4"/>
        <item x="84"/>
        <item x="24"/>
        <item x="124"/>
        <item x="76"/>
        <item x="32"/>
        <item t="default"/>
      </items>
    </pivotField>
    <pivotField showAll="0">
      <items count="9">
        <item h="1" x="5"/>
        <item h="1" x="3"/>
        <item h="1" x="1"/>
        <item h="1" x="0"/>
        <item h="1" x="6"/>
        <item x="4"/>
        <item h="1" x="7"/>
        <item h="1" x="2"/>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2"/>
    </i>
    <i>
      <x v="53"/>
    </i>
    <i>
      <x v="60"/>
    </i>
    <i>
      <x v="104"/>
    </i>
    <i>
      <x v="135"/>
    </i>
  </rowItems>
  <colItems count="1">
    <i/>
  </colItems>
  <dataFields count="1">
    <dataField name="Away From Target % wise" fld="11" baseField="1" baseItem="52"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2AD7678-F5CF-4096-843F-0FFB0F7B30B8}" sourceName="Region">
  <pivotTables>
    <pivotTable tabId="2" name="PivotTable3"/>
    <pivotTable tabId="2" name="PivotTable4"/>
  </pivotTables>
  <data>
    <tabular pivotCacheId="239072713">
      <items count="8">
        <i x="5"/>
        <i x="3"/>
        <i x="1"/>
        <i x="0"/>
        <i x="6"/>
        <i x="4" s="1"/>
        <i x="7"/>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D480E84-B1B6-4518-981D-F99D5EE462D2}" cache="Slicer_Region" caption="Region" columnCount="8" showCaption="0" style="Slicer Style 1" rowHeight="32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0CC9E-E64B-4584-93EE-04E70996A7F2}">
  <sheetPr codeName="Sheet1"/>
  <dimension ref="A1:K21"/>
  <sheetViews>
    <sheetView showGridLines="0" showRowColHeaders="0" tabSelected="1" zoomScale="120" zoomScaleNormal="120" workbookViewId="0">
      <selection activeCell="G2" sqref="G2"/>
    </sheetView>
  </sheetViews>
  <sheetFormatPr defaultRowHeight="15" x14ac:dyDescent="0.25"/>
  <cols>
    <col min="1" max="1" width="20.140625" customWidth="1"/>
    <col min="2" max="2" width="12.85546875" customWidth="1"/>
    <col min="3" max="3" width="1.5703125" customWidth="1"/>
    <col min="4" max="4" width="21.28515625" customWidth="1"/>
    <col min="5" max="5" width="15.85546875" customWidth="1"/>
    <col min="6" max="6" width="1.42578125" customWidth="1"/>
    <col min="7" max="7" width="20" customWidth="1"/>
    <col min="8" max="8" width="17.140625" customWidth="1"/>
    <col min="9" max="9" width="1.42578125" customWidth="1"/>
    <col min="10" max="10" width="21.5703125" customWidth="1"/>
    <col min="11" max="11" width="23.42578125" customWidth="1"/>
  </cols>
  <sheetData>
    <row r="1" spans="1:11" x14ac:dyDescent="0.25">
      <c r="A1" s="15" t="b">
        <v>0</v>
      </c>
      <c r="B1" s="15"/>
      <c r="C1" s="15"/>
      <c r="D1" s="15" t="b">
        <v>0</v>
      </c>
      <c r="E1" s="15"/>
      <c r="F1" s="15"/>
      <c r="G1" s="15" t="b">
        <v>1</v>
      </c>
      <c r="H1" s="15"/>
      <c r="I1" s="15"/>
      <c r="J1" s="15" t="b">
        <v>1</v>
      </c>
      <c r="K1" s="14"/>
    </row>
    <row r="2" spans="1:11" ht="86.25" customHeight="1" x14ac:dyDescent="0.25">
      <c r="A2" s="14"/>
      <c r="B2" s="14"/>
      <c r="C2" s="14"/>
      <c r="D2" s="14"/>
      <c r="E2" s="14"/>
      <c r="F2" s="14"/>
      <c r="G2" s="14"/>
      <c r="H2" s="14"/>
      <c r="I2" s="14"/>
      <c r="J2" s="14"/>
      <c r="K2" s="14"/>
    </row>
    <row r="3" spans="1:11" x14ac:dyDescent="0.25">
      <c r="A3" s="10" t="s">
        <v>1</v>
      </c>
      <c r="B3" t="s">
        <v>302</v>
      </c>
      <c r="C3" s="14"/>
      <c r="D3" s="10" t="s">
        <v>1</v>
      </c>
      <c r="E3" t="s">
        <v>302</v>
      </c>
      <c r="F3" s="14"/>
      <c r="G3" s="10" t="s">
        <v>1</v>
      </c>
      <c r="H3" t="s">
        <v>303</v>
      </c>
      <c r="I3" s="14"/>
      <c r="J3" s="10" t="s">
        <v>1</v>
      </c>
      <c r="K3" t="s">
        <v>304</v>
      </c>
    </row>
    <row r="4" spans="1:11" x14ac:dyDescent="0.25">
      <c r="A4" s="11" t="s">
        <v>265</v>
      </c>
      <c r="B4" s="12">
        <v>389</v>
      </c>
      <c r="C4" s="14"/>
      <c r="D4" s="11" t="s">
        <v>270</v>
      </c>
      <c r="E4" s="12">
        <v>166</v>
      </c>
      <c r="F4" s="14"/>
      <c r="G4" s="11" t="s">
        <v>182</v>
      </c>
      <c r="H4" s="13">
        <v>0.68200000000000005</v>
      </c>
      <c r="I4" s="14"/>
      <c r="J4" s="11" t="s">
        <v>270</v>
      </c>
      <c r="K4" s="13">
        <v>0.66799999999999993</v>
      </c>
    </row>
    <row r="5" spans="1:11" x14ac:dyDescent="0.25">
      <c r="A5" s="11" t="s">
        <v>237</v>
      </c>
      <c r="B5" s="12">
        <v>384</v>
      </c>
      <c r="C5" s="14"/>
      <c r="D5" s="11" t="s">
        <v>222</v>
      </c>
      <c r="E5" s="12">
        <v>171</v>
      </c>
      <c r="F5" s="14"/>
      <c r="G5" s="11" t="s">
        <v>190</v>
      </c>
      <c r="H5" s="13">
        <v>0.67</v>
      </c>
      <c r="I5" s="14"/>
      <c r="J5" s="11" t="s">
        <v>222</v>
      </c>
      <c r="K5" s="13">
        <v>0.65799999999999992</v>
      </c>
    </row>
    <row r="6" spans="1:11" x14ac:dyDescent="0.25">
      <c r="A6" s="11" t="s">
        <v>156</v>
      </c>
      <c r="B6" s="12">
        <v>379</v>
      </c>
      <c r="C6" s="14"/>
      <c r="D6" s="11" t="s">
        <v>226</v>
      </c>
      <c r="E6" s="12">
        <v>143</v>
      </c>
      <c r="F6" s="14"/>
      <c r="G6" s="11" t="s">
        <v>174</v>
      </c>
      <c r="H6" s="13">
        <v>0.73399999999999999</v>
      </c>
      <c r="I6" s="14"/>
      <c r="J6" s="11" t="s">
        <v>214</v>
      </c>
      <c r="K6" s="13">
        <v>0.56600000000000006</v>
      </c>
    </row>
    <row r="7" spans="1:11" x14ac:dyDescent="0.25">
      <c r="A7" s="11" t="s">
        <v>217</v>
      </c>
      <c r="B7" s="12">
        <v>385</v>
      </c>
      <c r="C7" s="14"/>
      <c r="D7" s="11" t="s">
        <v>224</v>
      </c>
      <c r="E7" s="12">
        <v>156</v>
      </c>
      <c r="F7" s="14"/>
      <c r="G7" s="11" t="s">
        <v>286</v>
      </c>
      <c r="H7" s="13">
        <v>0.69199999999999995</v>
      </c>
      <c r="I7" s="14"/>
      <c r="J7" s="11" t="s">
        <v>262</v>
      </c>
      <c r="K7" s="13">
        <v>0.52800000000000002</v>
      </c>
    </row>
    <row r="8" spans="1:11" x14ac:dyDescent="0.25">
      <c r="A8" s="11" t="s">
        <v>291</v>
      </c>
      <c r="B8" s="12">
        <v>382</v>
      </c>
      <c r="C8" s="14"/>
      <c r="D8" s="11" t="s">
        <v>219</v>
      </c>
      <c r="E8" s="12">
        <v>166</v>
      </c>
      <c r="F8" s="14"/>
      <c r="G8" s="11" t="s">
        <v>238</v>
      </c>
      <c r="H8" s="13">
        <v>0.69799999999999995</v>
      </c>
      <c r="I8" s="14"/>
      <c r="J8" s="11" t="s">
        <v>158</v>
      </c>
      <c r="K8" s="13">
        <v>0.57400000000000007</v>
      </c>
    </row>
    <row r="9" spans="1:11" x14ac:dyDescent="0.25">
      <c r="A9" s="14"/>
      <c r="B9" s="14"/>
      <c r="C9" s="14"/>
      <c r="D9" s="14"/>
      <c r="E9" s="14"/>
      <c r="F9" s="14"/>
      <c r="G9" s="14"/>
      <c r="H9" s="14"/>
      <c r="I9" s="14"/>
      <c r="J9" s="14"/>
      <c r="K9" s="14"/>
    </row>
    <row r="10" spans="1:11" x14ac:dyDescent="0.25">
      <c r="A10" s="14"/>
      <c r="B10" s="14"/>
      <c r="C10" s="14"/>
      <c r="D10" s="14"/>
      <c r="E10" s="14"/>
      <c r="F10" s="14"/>
      <c r="G10" s="14"/>
      <c r="H10" s="14"/>
      <c r="I10" s="14"/>
      <c r="J10" s="14"/>
      <c r="K10" s="14"/>
    </row>
    <row r="11" spans="1:11" x14ac:dyDescent="0.25">
      <c r="A11" s="14"/>
      <c r="B11" s="14"/>
      <c r="C11" s="14"/>
      <c r="D11" s="14"/>
      <c r="E11" s="14"/>
      <c r="F11" s="14"/>
      <c r="G11" s="14"/>
      <c r="H11" s="14"/>
      <c r="I11" s="14"/>
      <c r="J11" s="14"/>
      <c r="K11" s="14"/>
    </row>
    <row r="12" spans="1:11" x14ac:dyDescent="0.25">
      <c r="A12" s="14"/>
      <c r="B12" s="14"/>
      <c r="C12" s="14"/>
      <c r="D12" s="14"/>
      <c r="E12" s="14"/>
      <c r="F12" s="14"/>
      <c r="G12" s="14"/>
      <c r="H12" s="14"/>
      <c r="I12" s="14"/>
      <c r="J12" s="14"/>
      <c r="K12" s="14"/>
    </row>
    <row r="13" spans="1:11" x14ac:dyDescent="0.25">
      <c r="A13" s="14"/>
      <c r="B13" s="14"/>
      <c r="C13" s="14"/>
      <c r="D13" s="14"/>
      <c r="E13" s="14"/>
      <c r="F13" s="14"/>
      <c r="G13" s="14"/>
      <c r="H13" s="14"/>
      <c r="I13" s="14"/>
      <c r="J13" s="14"/>
      <c r="K13" s="14"/>
    </row>
    <row r="14" spans="1:11" x14ac:dyDescent="0.25">
      <c r="A14" s="14"/>
      <c r="B14" s="14"/>
      <c r="C14" s="14"/>
      <c r="D14" s="14"/>
      <c r="E14" s="14"/>
      <c r="F14" s="14"/>
      <c r="G14" s="14"/>
      <c r="H14" s="14"/>
      <c r="I14" s="14"/>
      <c r="J14" s="14"/>
      <c r="K14" s="14"/>
    </row>
    <row r="15" spans="1:11" x14ac:dyDescent="0.25">
      <c r="A15" s="14"/>
      <c r="B15" s="14"/>
      <c r="C15" s="14"/>
      <c r="D15" s="14"/>
      <c r="E15" s="14"/>
      <c r="F15" s="14"/>
      <c r="G15" s="14"/>
      <c r="H15" s="14"/>
      <c r="I15" s="14"/>
      <c r="J15" s="14"/>
      <c r="K15" s="14"/>
    </row>
    <row r="16" spans="1:11" x14ac:dyDescent="0.25">
      <c r="A16" s="14"/>
      <c r="B16" s="14"/>
      <c r="C16" s="14"/>
      <c r="D16" s="14"/>
      <c r="E16" s="14"/>
      <c r="F16" s="14"/>
      <c r="G16" s="14"/>
      <c r="H16" s="14"/>
      <c r="I16" s="14"/>
      <c r="J16" s="14"/>
      <c r="K16" s="14"/>
    </row>
    <row r="17" spans="1:11" x14ac:dyDescent="0.25">
      <c r="A17" s="14"/>
      <c r="B17" s="14"/>
      <c r="C17" s="14"/>
      <c r="D17" s="14"/>
      <c r="E17" s="14"/>
      <c r="F17" s="14"/>
      <c r="G17" s="14"/>
      <c r="H17" s="14"/>
      <c r="I17" s="14"/>
      <c r="J17" s="14"/>
      <c r="K17" s="14"/>
    </row>
    <row r="18" spans="1:11" x14ac:dyDescent="0.25">
      <c r="A18" s="14"/>
      <c r="B18" s="14"/>
      <c r="C18" s="14"/>
      <c r="D18" s="14"/>
      <c r="E18" s="14"/>
      <c r="F18" s="14"/>
      <c r="G18" s="14"/>
      <c r="H18" s="14"/>
      <c r="I18" s="14"/>
      <c r="J18" s="14"/>
      <c r="K18" s="14"/>
    </row>
    <row r="19" spans="1:11" x14ac:dyDescent="0.25">
      <c r="A19" s="14"/>
      <c r="B19" s="14"/>
      <c r="C19" s="14"/>
      <c r="D19" s="14"/>
      <c r="E19" s="14"/>
      <c r="F19" s="14"/>
      <c r="G19" s="14"/>
      <c r="H19" s="14"/>
      <c r="I19" s="14"/>
      <c r="J19" s="14"/>
      <c r="K19" s="14"/>
    </row>
    <row r="20" spans="1:11" x14ac:dyDescent="0.25">
      <c r="A20" s="14"/>
      <c r="B20" s="14"/>
      <c r="C20" s="14"/>
      <c r="D20" s="14"/>
      <c r="E20" s="14"/>
      <c r="F20" s="14"/>
      <c r="G20" s="14"/>
      <c r="H20" s="14"/>
      <c r="I20" s="14"/>
      <c r="J20" s="14"/>
      <c r="K20" s="14"/>
    </row>
    <row r="21" spans="1:11" x14ac:dyDescent="0.25">
      <c r="A21" s="14"/>
      <c r="B21" s="14"/>
      <c r="C21" s="14"/>
      <c r="D21" s="14"/>
      <c r="E21" s="14"/>
      <c r="F21" s="14"/>
      <c r="G21" s="14"/>
      <c r="H21" s="14"/>
      <c r="I21" s="14"/>
      <c r="J21" s="14"/>
      <c r="K21" s="1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9" r:id="rId8" name="Check Box 5">
              <controlPr defaultSize="0" autoFill="0" autoLine="0" autoPict="0" macro="[0]!Slicerconnection">
                <anchor moveWithCells="1">
                  <from>
                    <xdr:col>0</xdr:col>
                    <xdr:colOff>781050</xdr:colOff>
                    <xdr:row>1</xdr:row>
                    <xdr:rowOff>733425</xdr:rowOff>
                  </from>
                  <to>
                    <xdr:col>1</xdr:col>
                    <xdr:colOff>485775</xdr:colOff>
                    <xdr:row>1</xdr:row>
                    <xdr:rowOff>952500</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
                <anchor moveWithCells="1">
                  <from>
                    <xdr:col>3</xdr:col>
                    <xdr:colOff>819150</xdr:colOff>
                    <xdr:row>1</xdr:row>
                    <xdr:rowOff>723900</xdr:rowOff>
                  </from>
                  <to>
                    <xdr:col>4</xdr:col>
                    <xdr:colOff>361950</xdr:colOff>
                    <xdr:row>1</xdr:row>
                    <xdr:rowOff>981075</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
                <anchor moveWithCells="1">
                  <from>
                    <xdr:col>6</xdr:col>
                    <xdr:colOff>828675</xdr:colOff>
                    <xdr:row>1</xdr:row>
                    <xdr:rowOff>733425</xdr:rowOff>
                  </from>
                  <to>
                    <xdr:col>7</xdr:col>
                    <xdr:colOff>428625</xdr:colOff>
                    <xdr:row>1</xdr:row>
                    <xdr:rowOff>981075</xdr:rowOff>
                  </to>
                </anchor>
              </controlPr>
            </control>
          </mc:Choice>
        </mc:AlternateContent>
        <mc:AlternateContent xmlns:mc="http://schemas.openxmlformats.org/markup-compatibility/2006">
          <mc:Choice Requires="x14">
            <control shapeId="1033" r:id="rId11" name="Check Box 9">
              <controlPr defaultSize="0" autoFill="0" autoLine="0" autoPict="0" macro="[0]!Slicerconnection">
                <anchor moveWithCells="1">
                  <from>
                    <xdr:col>9</xdr:col>
                    <xdr:colOff>1152525</xdr:colOff>
                    <xdr:row>1</xdr:row>
                    <xdr:rowOff>723900</xdr:rowOff>
                  </from>
                  <to>
                    <xdr:col>10</xdr:col>
                    <xdr:colOff>752475</xdr:colOff>
                    <xdr:row>1</xdr:row>
                    <xdr:rowOff>1019175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E7278-45A8-4975-BC91-D4A91E3F80CE}">
  <sheetPr codeName="Sheet2"/>
  <dimension ref="A1:L142"/>
  <sheetViews>
    <sheetView zoomScale="130" zoomScaleNormal="130" workbookViewId="0">
      <selection activeCell="I2" sqref="I2:J2"/>
    </sheetView>
  </sheetViews>
  <sheetFormatPr defaultRowHeight="15" x14ac:dyDescent="0.25"/>
  <cols>
    <col min="1" max="1" width="11.28515625" bestFit="1" customWidth="1"/>
    <col min="2" max="2" width="16.5703125" bestFit="1" customWidth="1"/>
    <col min="3" max="3" width="10.85546875" bestFit="1" customWidth="1"/>
    <col min="4" max="8" width="5" bestFit="1" customWidth="1"/>
    <col min="9" max="9" width="9.28515625" bestFit="1" customWidth="1"/>
    <col min="10" max="10" width="6" bestFit="1" customWidth="1"/>
    <col min="11" max="11" width="10.42578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9" t="s">
        <v>154</v>
      </c>
      <c r="C2" s="3" t="s">
        <v>294</v>
      </c>
      <c r="D2" s="4">
        <v>49</v>
      </c>
      <c r="E2" s="4">
        <v>84</v>
      </c>
      <c r="F2" s="4">
        <v>98</v>
      </c>
      <c r="G2" s="4">
        <v>67</v>
      </c>
      <c r="H2" s="4">
        <v>41</v>
      </c>
      <c r="I2" s="5">
        <f>SUM(D2:H2)</f>
        <v>339</v>
      </c>
      <c r="J2" s="5">
        <v>500</v>
      </c>
      <c r="K2" s="6">
        <f>I2/J2</f>
        <v>0.67800000000000005</v>
      </c>
      <c r="L2" s="7">
        <f>100%-K2</f>
        <v>0.32199999999999995</v>
      </c>
    </row>
    <row r="3" spans="1:12" x14ac:dyDescent="0.25">
      <c r="A3" s="2" t="s">
        <v>13</v>
      </c>
      <c r="B3" s="9" t="s">
        <v>155</v>
      </c>
      <c r="C3" s="3" t="s">
        <v>295</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14</v>
      </c>
      <c r="B4" s="9" t="s">
        <v>156</v>
      </c>
      <c r="C4" s="3" t="s">
        <v>296</v>
      </c>
      <c r="D4" s="4">
        <v>45</v>
      </c>
      <c r="E4" s="4">
        <v>79</v>
      </c>
      <c r="F4" s="4">
        <v>88</v>
      </c>
      <c r="G4" s="4">
        <v>73</v>
      </c>
      <c r="H4" s="4">
        <v>94</v>
      </c>
      <c r="I4" s="5">
        <f t="shared" si="0"/>
        <v>379</v>
      </c>
      <c r="J4" s="5">
        <v>500</v>
      </c>
      <c r="K4" s="6">
        <f t="shared" si="1"/>
        <v>0.75800000000000001</v>
      </c>
      <c r="L4" s="7">
        <f t="shared" si="2"/>
        <v>0.24199999999999999</v>
      </c>
    </row>
    <row r="5" spans="1:12" x14ac:dyDescent="0.25">
      <c r="A5" s="2" t="s">
        <v>15</v>
      </c>
      <c r="B5" s="9" t="s">
        <v>157</v>
      </c>
      <c r="C5" s="3" t="s">
        <v>297</v>
      </c>
      <c r="D5" s="4">
        <v>52</v>
      </c>
      <c r="E5" s="4">
        <v>99</v>
      </c>
      <c r="F5" s="4">
        <v>13</v>
      </c>
      <c r="G5" s="4">
        <v>95</v>
      </c>
      <c r="H5" s="4">
        <v>29</v>
      </c>
      <c r="I5" s="5">
        <f t="shared" si="0"/>
        <v>288</v>
      </c>
      <c r="J5" s="5">
        <v>500</v>
      </c>
      <c r="K5" s="6">
        <f t="shared" si="1"/>
        <v>0.57599999999999996</v>
      </c>
      <c r="L5" s="7">
        <f t="shared" si="2"/>
        <v>0.42400000000000004</v>
      </c>
    </row>
    <row r="6" spans="1:12" x14ac:dyDescent="0.25">
      <c r="A6" s="2" t="s">
        <v>16</v>
      </c>
      <c r="B6" s="9" t="s">
        <v>158</v>
      </c>
      <c r="C6" s="3" t="s">
        <v>298</v>
      </c>
      <c r="D6" s="4">
        <v>35</v>
      </c>
      <c r="E6" s="4">
        <v>54</v>
      </c>
      <c r="F6" s="4">
        <v>49</v>
      </c>
      <c r="G6" s="4">
        <v>26</v>
      </c>
      <c r="H6" s="4">
        <v>49</v>
      </c>
      <c r="I6" s="5">
        <f t="shared" si="0"/>
        <v>213</v>
      </c>
      <c r="J6" s="5">
        <v>500</v>
      </c>
      <c r="K6" s="6">
        <f t="shared" si="1"/>
        <v>0.42599999999999999</v>
      </c>
      <c r="L6" s="7">
        <f t="shared" si="2"/>
        <v>0.57400000000000007</v>
      </c>
    </row>
    <row r="7" spans="1:12" x14ac:dyDescent="0.25">
      <c r="A7" s="2" t="s">
        <v>17</v>
      </c>
      <c r="B7" s="9" t="s">
        <v>159</v>
      </c>
      <c r="C7" s="3" t="s">
        <v>299</v>
      </c>
      <c r="D7" s="4">
        <v>86</v>
      </c>
      <c r="E7" s="4">
        <v>31</v>
      </c>
      <c r="F7" s="4">
        <v>23</v>
      </c>
      <c r="G7" s="4">
        <v>48</v>
      </c>
      <c r="H7" s="4">
        <v>77</v>
      </c>
      <c r="I7" s="5">
        <f t="shared" si="0"/>
        <v>265</v>
      </c>
      <c r="J7" s="5">
        <v>500</v>
      </c>
      <c r="K7" s="6">
        <f t="shared" si="1"/>
        <v>0.53</v>
      </c>
      <c r="L7" s="7">
        <f t="shared" si="2"/>
        <v>0.47</v>
      </c>
    </row>
    <row r="8" spans="1:12" x14ac:dyDescent="0.25">
      <c r="A8" s="2" t="s">
        <v>18</v>
      </c>
      <c r="B8" s="9" t="s">
        <v>160</v>
      </c>
      <c r="C8" s="3" t="s">
        <v>300</v>
      </c>
      <c r="D8" s="4">
        <v>84</v>
      </c>
      <c r="E8" s="4">
        <v>28</v>
      </c>
      <c r="F8" s="4">
        <v>98</v>
      </c>
      <c r="G8" s="4">
        <v>80</v>
      </c>
      <c r="H8" s="4">
        <v>79</v>
      </c>
      <c r="I8" s="5">
        <f t="shared" si="0"/>
        <v>369</v>
      </c>
      <c r="J8" s="5">
        <v>500</v>
      </c>
      <c r="K8" s="6">
        <f t="shared" si="1"/>
        <v>0.73799999999999999</v>
      </c>
      <c r="L8" s="7">
        <f t="shared" si="2"/>
        <v>0.26200000000000001</v>
      </c>
    </row>
    <row r="9" spans="1:12" x14ac:dyDescent="0.25">
      <c r="A9" s="2" t="s">
        <v>19</v>
      </c>
      <c r="B9" s="9" t="s">
        <v>161</v>
      </c>
      <c r="C9" s="3" t="s">
        <v>301</v>
      </c>
      <c r="D9" s="4">
        <v>73</v>
      </c>
      <c r="E9" s="4">
        <v>97</v>
      </c>
      <c r="F9" s="4">
        <v>38</v>
      </c>
      <c r="G9" s="4">
        <v>24</v>
      </c>
      <c r="H9" s="4">
        <v>53</v>
      </c>
      <c r="I9" s="5">
        <f t="shared" si="0"/>
        <v>285</v>
      </c>
      <c r="J9" s="5">
        <v>500</v>
      </c>
      <c r="K9" s="6">
        <f t="shared" si="1"/>
        <v>0.56999999999999995</v>
      </c>
      <c r="L9" s="7">
        <f t="shared" si="2"/>
        <v>0.43000000000000005</v>
      </c>
    </row>
    <row r="10" spans="1:12" x14ac:dyDescent="0.25">
      <c r="A10" s="2" t="s">
        <v>20</v>
      </c>
      <c r="B10" s="9" t="s">
        <v>162</v>
      </c>
      <c r="C10" s="3" t="s">
        <v>294</v>
      </c>
      <c r="D10" s="4">
        <v>54</v>
      </c>
      <c r="E10" s="4">
        <v>26</v>
      </c>
      <c r="F10" s="4">
        <v>53</v>
      </c>
      <c r="G10" s="4">
        <v>36</v>
      </c>
      <c r="H10" s="4">
        <v>20</v>
      </c>
      <c r="I10" s="5">
        <f t="shared" si="0"/>
        <v>189</v>
      </c>
      <c r="J10" s="5">
        <v>500</v>
      </c>
      <c r="K10" s="6">
        <f t="shared" si="1"/>
        <v>0.378</v>
      </c>
      <c r="L10" s="7">
        <f t="shared" si="2"/>
        <v>0.622</v>
      </c>
    </row>
    <row r="11" spans="1:12" x14ac:dyDescent="0.25">
      <c r="A11" s="2" t="s">
        <v>21</v>
      </c>
      <c r="B11" s="9" t="s">
        <v>163</v>
      </c>
      <c r="C11" s="3" t="s">
        <v>295</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22</v>
      </c>
      <c r="B12" s="9" t="s">
        <v>164</v>
      </c>
      <c r="C12" s="3" t="s">
        <v>296</v>
      </c>
      <c r="D12" s="4">
        <v>63</v>
      </c>
      <c r="E12" s="4">
        <v>17</v>
      </c>
      <c r="F12" s="4">
        <v>40</v>
      </c>
      <c r="G12" s="4">
        <v>48</v>
      </c>
      <c r="H12" s="4">
        <v>51</v>
      </c>
      <c r="I12" s="5">
        <f t="shared" si="0"/>
        <v>219</v>
      </c>
      <c r="J12" s="5">
        <v>500</v>
      </c>
      <c r="K12" s="6">
        <f t="shared" si="1"/>
        <v>0.438</v>
      </c>
      <c r="L12" s="7">
        <f t="shared" si="2"/>
        <v>0.56200000000000006</v>
      </c>
    </row>
    <row r="13" spans="1:12" x14ac:dyDescent="0.25">
      <c r="A13" s="2" t="s">
        <v>23</v>
      </c>
      <c r="B13" s="9" t="s">
        <v>165</v>
      </c>
      <c r="C13" s="3" t="s">
        <v>297</v>
      </c>
      <c r="D13" s="4">
        <v>79</v>
      </c>
      <c r="E13" s="4">
        <v>99</v>
      </c>
      <c r="F13" s="4">
        <v>95</v>
      </c>
      <c r="G13" s="4">
        <v>12</v>
      </c>
      <c r="H13" s="4">
        <v>91</v>
      </c>
      <c r="I13" s="5">
        <f t="shared" si="0"/>
        <v>376</v>
      </c>
      <c r="J13" s="5">
        <v>500</v>
      </c>
      <c r="K13" s="6">
        <f t="shared" si="1"/>
        <v>0.752</v>
      </c>
      <c r="L13" s="7">
        <f t="shared" si="2"/>
        <v>0.248</v>
      </c>
    </row>
    <row r="14" spans="1:12" x14ac:dyDescent="0.25">
      <c r="A14" s="2" t="s">
        <v>24</v>
      </c>
      <c r="B14" s="9" t="s">
        <v>166</v>
      </c>
      <c r="C14" s="3" t="s">
        <v>298</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25</v>
      </c>
      <c r="B15" s="9" t="s">
        <v>167</v>
      </c>
      <c r="C15" s="3" t="s">
        <v>299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26</v>
      </c>
      <c r="B16" s="9" t="s">
        <v>168</v>
      </c>
      <c r="C16" s="3" t="s">
        <v>300</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27</v>
      </c>
      <c r="B17" s="9" t="s">
        <v>169</v>
      </c>
      <c r="C17" s="3" t="s">
        <v>301</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28</v>
      </c>
      <c r="B18" s="9" t="s">
        <v>170</v>
      </c>
      <c r="C18" s="3" t="s">
        <v>294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29</v>
      </c>
      <c r="B19" s="9" t="s">
        <v>171</v>
      </c>
      <c r="C19" s="3" t="s">
        <v>295</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30</v>
      </c>
      <c r="B20" s="9" t="s">
        <v>172</v>
      </c>
      <c r="C20" s="3" t="s">
        <v>296</v>
      </c>
      <c r="D20" s="4">
        <v>19</v>
      </c>
      <c r="E20" s="4">
        <v>34</v>
      </c>
      <c r="F20" s="4">
        <v>64</v>
      </c>
      <c r="G20" s="4">
        <v>65</v>
      </c>
      <c r="H20" s="4">
        <v>70</v>
      </c>
      <c r="I20" s="5">
        <f t="shared" si="0"/>
        <v>252</v>
      </c>
      <c r="J20" s="5">
        <v>500</v>
      </c>
      <c r="K20" s="6">
        <f t="shared" si="1"/>
        <v>0.504</v>
      </c>
      <c r="L20" s="7">
        <f t="shared" si="2"/>
        <v>0.496</v>
      </c>
    </row>
    <row r="21" spans="1:12" x14ac:dyDescent="0.25">
      <c r="A21" s="2" t="s">
        <v>31</v>
      </c>
      <c r="B21" s="9" t="s">
        <v>173</v>
      </c>
      <c r="C21" s="3" t="s">
        <v>297</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32</v>
      </c>
      <c r="B22" s="9" t="s">
        <v>174</v>
      </c>
      <c r="C22" s="3" t="s">
        <v>298</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33</v>
      </c>
      <c r="B23" s="9" t="s">
        <v>175</v>
      </c>
      <c r="C23" s="3" t="s">
        <v>299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34</v>
      </c>
      <c r="B24" s="9" t="s">
        <v>176</v>
      </c>
      <c r="C24" s="3" t="s">
        <v>300</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35</v>
      </c>
      <c r="B25" s="9" t="s">
        <v>177</v>
      </c>
      <c r="C25" s="3" t="s">
        <v>301</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36</v>
      </c>
      <c r="B26" s="9" t="s">
        <v>178</v>
      </c>
      <c r="C26" s="3" t="s">
        <v>294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37</v>
      </c>
      <c r="B27" s="9" t="s">
        <v>179</v>
      </c>
      <c r="C27" s="3" t="s">
        <v>295</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38</v>
      </c>
      <c r="B28" s="9" t="s">
        <v>180</v>
      </c>
      <c r="C28" s="3" t="s">
        <v>296</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39</v>
      </c>
      <c r="B29" s="9" t="s">
        <v>181</v>
      </c>
      <c r="C29" s="3" t="s">
        <v>297</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40</v>
      </c>
      <c r="B30" s="9" t="s">
        <v>182</v>
      </c>
      <c r="C30" s="3" t="s">
        <v>298</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41</v>
      </c>
      <c r="B31" s="9" t="s">
        <v>183</v>
      </c>
      <c r="C31" s="3" t="s">
        <v>299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42</v>
      </c>
      <c r="B32" s="9" t="s">
        <v>184</v>
      </c>
      <c r="C32" s="3" t="s">
        <v>300</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43</v>
      </c>
      <c r="B33" s="9" t="s">
        <v>185</v>
      </c>
      <c r="C33" s="3" t="s">
        <v>301</v>
      </c>
      <c r="D33" s="4">
        <v>37</v>
      </c>
      <c r="E33" s="4">
        <v>30</v>
      </c>
      <c r="F33" s="4">
        <v>19</v>
      </c>
      <c r="G33" s="4">
        <v>77</v>
      </c>
      <c r="H33" s="4">
        <v>67</v>
      </c>
      <c r="I33" s="5">
        <f t="shared" si="0"/>
        <v>230</v>
      </c>
      <c r="J33" s="5">
        <v>500</v>
      </c>
      <c r="K33" s="6">
        <f t="shared" si="1"/>
        <v>0.46</v>
      </c>
      <c r="L33" s="7">
        <f t="shared" si="2"/>
        <v>0.54</v>
      </c>
    </row>
    <row r="34" spans="1:12" x14ac:dyDescent="0.25">
      <c r="A34" s="2" t="s">
        <v>44</v>
      </c>
      <c r="B34" s="9" t="s">
        <v>186</v>
      </c>
      <c r="C34" s="3" t="s">
        <v>294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45</v>
      </c>
      <c r="B35" s="9" t="s">
        <v>187</v>
      </c>
      <c r="C35" s="3" t="s">
        <v>295</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46</v>
      </c>
      <c r="B36" s="9" t="s">
        <v>188</v>
      </c>
      <c r="C36" s="3" t="s">
        <v>296</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47</v>
      </c>
      <c r="B37" s="9" t="s">
        <v>189</v>
      </c>
      <c r="C37" s="3" t="s">
        <v>297</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48</v>
      </c>
      <c r="B38" s="9" t="s">
        <v>190</v>
      </c>
      <c r="C38" s="3" t="s">
        <v>298</v>
      </c>
      <c r="D38" s="4">
        <v>91</v>
      </c>
      <c r="E38" s="4">
        <v>13</v>
      </c>
      <c r="F38" s="4">
        <v>79</v>
      </c>
      <c r="G38" s="4">
        <v>85</v>
      </c>
      <c r="H38" s="4">
        <v>67</v>
      </c>
      <c r="I38" s="5">
        <f t="shared" si="0"/>
        <v>335</v>
      </c>
      <c r="J38" s="5">
        <v>500</v>
      </c>
      <c r="K38" s="6">
        <f t="shared" si="1"/>
        <v>0.67</v>
      </c>
      <c r="L38" s="7">
        <f t="shared" si="2"/>
        <v>0.32999999999999996</v>
      </c>
    </row>
    <row r="39" spans="1:12" x14ac:dyDescent="0.25">
      <c r="A39" s="2" t="s">
        <v>49</v>
      </c>
      <c r="B39" s="9" t="s">
        <v>191</v>
      </c>
      <c r="C39" s="3" t="s">
        <v>299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50</v>
      </c>
      <c r="B40" s="9" t="s">
        <v>192</v>
      </c>
      <c r="C40" s="3" t="s">
        <v>300</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51</v>
      </c>
      <c r="B41" s="9" t="s">
        <v>193</v>
      </c>
      <c r="C41" s="3" t="s">
        <v>301</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52</v>
      </c>
      <c r="B42" s="9" t="s">
        <v>194</v>
      </c>
      <c r="C42" s="3" t="s">
        <v>294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53</v>
      </c>
      <c r="B43" s="9" t="s">
        <v>195</v>
      </c>
      <c r="C43" s="3" t="s">
        <v>295</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54</v>
      </c>
      <c r="B44" s="9" t="s">
        <v>196</v>
      </c>
      <c r="C44" s="3" t="s">
        <v>296</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55</v>
      </c>
      <c r="B45" s="9" t="s">
        <v>197</v>
      </c>
      <c r="C45" s="3" t="s">
        <v>297</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56</v>
      </c>
      <c r="B46" s="9" t="s">
        <v>198</v>
      </c>
      <c r="C46" s="3" t="s">
        <v>298</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57</v>
      </c>
      <c r="B47" s="9" t="s">
        <v>199</v>
      </c>
      <c r="C47" s="3" t="s">
        <v>299</v>
      </c>
      <c r="D47" s="4">
        <v>49</v>
      </c>
      <c r="E47" s="4">
        <v>82</v>
      </c>
      <c r="F47" s="4">
        <v>95</v>
      </c>
      <c r="G47" s="4">
        <v>46</v>
      </c>
      <c r="H47" s="4">
        <v>78</v>
      </c>
      <c r="I47" s="5">
        <f t="shared" si="0"/>
        <v>350</v>
      </c>
      <c r="J47" s="5">
        <v>500</v>
      </c>
      <c r="K47" s="6">
        <f t="shared" si="1"/>
        <v>0.7</v>
      </c>
      <c r="L47" s="7">
        <f t="shared" si="2"/>
        <v>0.30000000000000004</v>
      </c>
    </row>
    <row r="48" spans="1:12" x14ac:dyDescent="0.25">
      <c r="A48" s="2" t="s">
        <v>58</v>
      </c>
      <c r="B48" s="9" t="s">
        <v>200</v>
      </c>
      <c r="C48" s="3" t="s">
        <v>300</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59</v>
      </c>
      <c r="B49" s="9" t="s">
        <v>201</v>
      </c>
      <c r="C49" s="3" t="s">
        <v>301</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60</v>
      </c>
      <c r="B50" s="9" t="s">
        <v>202</v>
      </c>
      <c r="C50" s="3" t="s">
        <v>294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61</v>
      </c>
      <c r="B51" s="9" t="s">
        <v>203</v>
      </c>
      <c r="C51" s="3" t="s">
        <v>295</v>
      </c>
      <c r="D51" s="4">
        <v>17</v>
      </c>
      <c r="E51" s="4">
        <v>84</v>
      </c>
      <c r="F51" s="4">
        <v>90</v>
      </c>
      <c r="G51" s="4">
        <v>77</v>
      </c>
      <c r="H51" s="4">
        <v>72</v>
      </c>
      <c r="I51" s="5">
        <f t="shared" si="0"/>
        <v>340</v>
      </c>
      <c r="J51" s="5">
        <v>500</v>
      </c>
      <c r="K51" s="6">
        <f t="shared" si="1"/>
        <v>0.68</v>
      </c>
      <c r="L51" s="7">
        <f t="shared" si="2"/>
        <v>0.31999999999999995</v>
      </c>
    </row>
    <row r="52" spans="1:12" x14ac:dyDescent="0.25">
      <c r="A52" s="2" t="s">
        <v>62</v>
      </c>
      <c r="B52" s="9" t="s">
        <v>204</v>
      </c>
      <c r="C52" s="3" t="s">
        <v>296</v>
      </c>
      <c r="D52" s="4">
        <v>52</v>
      </c>
      <c r="E52" s="4">
        <v>36</v>
      </c>
      <c r="F52" s="4">
        <v>84</v>
      </c>
      <c r="G52" s="4">
        <v>41</v>
      </c>
      <c r="H52" s="4">
        <v>57</v>
      </c>
      <c r="I52" s="5">
        <f t="shared" si="0"/>
        <v>270</v>
      </c>
      <c r="J52" s="5">
        <v>500</v>
      </c>
      <c r="K52" s="6">
        <f t="shared" si="1"/>
        <v>0.54</v>
      </c>
      <c r="L52" s="7">
        <f t="shared" si="2"/>
        <v>0.45999999999999996</v>
      </c>
    </row>
    <row r="53" spans="1:12" x14ac:dyDescent="0.25">
      <c r="A53" s="2" t="s">
        <v>63</v>
      </c>
      <c r="B53" s="9" t="s">
        <v>205</v>
      </c>
      <c r="C53" s="3" t="s">
        <v>297</v>
      </c>
      <c r="D53" s="4">
        <v>65</v>
      </c>
      <c r="E53" s="4">
        <v>67</v>
      </c>
      <c r="F53" s="4">
        <v>72</v>
      </c>
      <c r="G53" s="4">
        <v>22</v>
      </c>
      <c r="H53" s="4">
        <v>23</v>
      </c>
      <c r="I53" s="5">
        <f t="shared" si="0"/>
        <v>249</v>
      </c>
      <c r="J53" s="5">
        <v>500</v>
      </c>
      <c r="K53" s="6">
        <f t="shared" si="1"/>
        <v>0.498</v>
      </c>
      <c r="L53" s="7">
        <f t="shared" si="2"/>
        <v>0.502</v>
      </c>
    </row>
    <row r="54" spans="1:12" x14ac:dyDescent="0.25">
      <c r="A54" s="2" t="s">
        <v>64</v>
      </c>
      <c r="B54" s="9" t="s">
        <v>206</v>
      </c>
      <c r="C54" s="3" t="s">
        <v>298</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65</v>
      </c>
      <c r="B55" s="9" t="s">
        <v>207</v>
      </c>
      <c r="C55" s="3" t="s">
        <v>299</v>
      </c>
      <c r="D55" s="4">
        <v>23</v>
      </c>
      <c r="E55" s="4">
        <v>14</v>
      </c>
      <c r="F55" s="4">
        <v>15</v>
      </c>
      <c r="G55" s="4">
        <v>58</v>
      </c>
      <c r="H55" s="4">
        <v>79</v>
      </c>
      <c r="I55" s="5">
        <f t="shared" si="0"/>
        <v>189</v>
      </c>
      <c r="J55" s="5">
        <v>500</v>
      </c>
      <c r="K55" s="6">
        <f t="shared" si="1"/>
        <v>0.378</v>
      </c>
      <c r="L55" s="7">
        <f t="shared" si="2"/>
        <v>0.622</v>
      </c>
    </row>
    <row r="56" spans="1:12" x14ac:dyDescent="0.25">
      <c r="A56" s="2" t="s">
        <v>66</v>
      </c>
      <c r="B56" s="9" t="s">
        <v>208</v>
      </c>
      <c r="C56" s="3" t="s">
        <v>300</v>
      </c>
      <c r="D56" s="4">
        <v>15</v>
      </c>
      <c r="E56" s="4">
        <v>67</v>
      </c>
      <c r="F56" s="4">
        <v>48</v>
      </c>
      <c r="G56" s="4">
        <v>95</v>
      </c>
      <c r="H56" s="4">
        <v>35</v>
      </c>
      <c r="I56" s="5">
        <f t="shared" si="0"/>
        <v>260</v>
      </c>
      <c r="J56" s="5">
        <v>500</v>
      </c>
      <c r="K56" s="6">
        <f t="shared" si="1"/>
        <v>0.52</v>
      </c>
      <c r="L56" s="7">
        <f t="shared" si="2"/>
        <v>0.48</v>
      </c>
    </row>
    <row r="57" spans="1:12" x14ac:dyDescent="0.25">
      <c r="A57" s="2" t="s">
        <v>67</v>
      </c>
      <c r="B57" s="9" t="s">
        <v>209</v>
      </c>
      <c r="C57" s="3" t="s">
        <v>301</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68</v>
      </c>
      <c r="B58" s="9" t="s">
        <v>210</v>
      </c>
      <c r="C58" s="3" t="s">
        <v>294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69</v>
      </c>
      <c r="B59" s="9" t="s">
        <v>211</v>
      </c>
      <c r="C59" s="3" t="s">
        <v>295</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70</v>
      </c>
      <c r="B60" s="9" t="s">
        <v>212</v>
      </c>
      <c r="C60" s="3" t="s">
        <v>296</v>
      </c>
      <c r="D60" s="4">
        <v>83</v>
      </c>
      <c r="E60" s="4">
        <v>12</v>
      </c>
      <c r="F60" s="4">
        <v>70</v>
      </c>
      <c r="G60" s="4">
        <v>83</v>
      </c>
      <c r="H60" s="4">
        <v>52</v>
      </c>
      <c r="I60" s="5">
        <f t="shared" si="0"/>
        <v>300</v>
      </c>
      <c r="J60" s="5">
        <v>500</v>
      </c>
      <c r="K60" s="6">
        <f t="shared" si="1"/>
        <v>0.6</v>
      </c>
      <c r="L60" s="7">
        <f t="shared" si="2"/>
        <v>0.4</v>
      </c>
    </row>
    <row r="61" spans="1:12" x14ac:dyDescent="0.25">
      <c r="A61" s="2" t="s">
        <v>71</v>
      </c>
      <c r="B61" s="9" t="s">
        <v>213</v>
      </c>
      <c r="C61" s="3" t="s">
        <v>297</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72</v>
      </c>
      <c r="B62" s="9" t="s">
        <v>214</v>
      </c>
      <c r="C62" s="3" t="s">
        <v>298</v>
      </c>
      <c r="D62" s="4">
        <v>40</v>
      </c>
      <c r="E62" s="4">
        <v>70</v>
      </c>
      <c r="F62" s="4">
        <v>19</v>
      </c>
      <c r="G62" s="4">
        <v>36</v>
      </c>
      <c r="H62" s="4">
        <v>52</v>
      </c>
      <c r="I62" s="5">
        <f t="shared" si="0"/>
        <v>217</v>
      </c>
      <c r="J62" s="5">
        <v>500</v>
      </c>
      <c r="K62" s="6">
        <f t="shared" si="1"/>
        <v>0.434</v>
      </c>
      <c r="L62" s="7">
        <f t="shared" si="2"/>
        <v>0.56600000000000006</v>
      </c>
    </row>
    <row r="63" spans="1:12" x14ac:dyDescent="0.25">
      <c r="A63" s="2" t="s">
        <v>73</v>
      </c>
      <c r="B63" s="9" t="s">
        <v>215</v>
      </c>
      <c r="C63" s="3" t="s">
        <v>299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74</v>
      </c>
      <c r="B64" s="9" t="s">
        <v>216</v>
      </c>
      <c r="C64" s="3" t="s">
        <v>300</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75</v>
      </c>
      <c r="B65" s="9" t="s">
        <v>217</v>
      </c>
      <c r="C65" s="3" t="s">
        <v>301</v>
      </c>
      <c r="D65" s="4">
        <v>75</v>
      </c>
      <c r="E65" s="4">
        <v>75</v>
      </c>
      <c r="F65" s="4">
        <v>89</v>
      </c>
      <c r="G65" s="4">
        <v>97</v>
      </c>
      <c r="H65" s="4">
        <v>49</v>
      </c>
      <c r="I65" s="5">
        <f t="shared" si="0"/>
        <v>385</v>
      </c>
      <c r="J65" s="5">
        <v>500</v>
      </c>
      <c r="K65" s="6">
        <f t="shared" si="1"/>
        <v>0.77</v>
      </c>
      <c r="L65" s="7">
        <f t="shared" si="2"/>
        <v>0.22999999999999998</v>
      </c>
    </row>
    <row r="66" spans="1:12" x14ac:dyDescent="0.25">
      <c r="A66" s="2" t="s">
        <v>76</v>
      </c>
      <c r="B66" s="9" t="s">
        <v>218</v>
      </c>
      <c r="C66" s="3" t="s">
        <v>294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77</v>
      </c>
      <c r="B67" s="9" t="s">
        <v>219</v>
      </c>
      <c r="C67" s="3" t="s">
        <v>295</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78</v>
      </c>
      <c r="B68" s="9" t="s">
        <v>220</v>
      </c>
      <c r="C68" s="3" t="s">
        <v>296</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79</v>
      </c>
      <c r="B69" s="9" t="s">
        <v>221</v>
      </c>
      <c r="C69" s="3" t="s">
        <v>297</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80</v>
      </c>
      <c r="B70" s="9" t="s">
        <v>222</v>
      </c>
      <c r="C70" s="3" t="s">
        <v>298</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81</v>
      </c>
      <c r="B71" s="9" t="s">
        <v>223</v>
      </c>
      <c r="C71" s="3" t="s">
        <v>299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82</v>
      </c>
      <c r="B72" s="9" t="s">
        <v>224</v>
      </c>
      <c r="C72" s="3" t="s">
        <v>300</v>
      </c>
      <c r="D72" s="4">
        <v>68</v>
      </c>
      <c r="E72" s="4">
        <v>36</v>
      </c>
      <c r="F72" s="4">
        <v>15</v>
      </c>
      <c r="G72" s="4">
        <v>20</v>
      </c>
      <c r="H72" s="4">
        <v>17</v>
      </c>
      <c r="I72" s="5">
        <f t="shared" si="3"/>
        <v>156</v>
      </c>
      <c r="J72" s="5">
        <v>500</v>
      </c>
      <c r="K72" s="6">
        <f t="shared" si="4"/>
        <v>0.312</v>
      </c>
      <c r="L72" s="7">
        <f t="shared" si="5"/>
        <v>0.68799999999999994</v>
      </c>
    </row>
    <row r="73" spans="1:12" x14ac:dyDescent="0.25">
      <c r="A73" s="2" t="s">
        <v>83</v>
      </c>
      <c r="B73" s="9" t="s">
        <v>225</v>
      </c>
      <c r="C73" s="3" t="s">
        <v>301</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84</v>
      </c>
      <c r="B74" s="9" t="s">
        <v>226</v>
      </c>
      <c r="C74" s="3" t="s">
        <v>294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85</v>
      </c>
      <c r="B75" s="9" t="s">
        <v>227</v>
      </c>
      <c r="C75" s="3" t="s">
        <v>295</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86</v>
      </c>
      <c r="B76" s="9" t="s">
        <v>228</v>
      </c>
      <c r="C76" s="3" t="s">
        <v>296</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87</v>
      </c>
      <c r="B77" s="9" t="s">
        <v>229</v>
      </c>
      <c r="C77" s="3" t="s">
        <v>297</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88</v>
      </c>
      <c r="B78" s="9" t="s">
        <v>230</v>
      </c>
      <c r="C78" s="3" t="s">
        <v>298</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89</v>
      </c>
      <c r="B79" s="9" t="s">
        <v>231</v>
      </c>
      <c r="C79" s="3" t="s">
        <v>299</v>
      </c>
      <c r="D79" s="4">
        <v>50</v>
      </c>
      <c r="E79" s="4">
        <v>44</v>
      </c>
      <c r="F79" s="4">
        <v>46</v>
      </c>
      <c r="G79" s="4">
        <v>13</v>
      </c>
      <c r="H79" s="4">
        <v>92</v>
      </c>
      <c r="I79" s="5">
        <f t="shared" si="3"/>
        <v>245</v>
      </c>
      <c r="J79" s="5">
        <v>500</v>
      </c>
      <c r="K79" s="6">
        <f t="shared" si="4"/>
        <v>0.49</v>
      </c>
      <c r="L79" s="7">
        <f t="shared" si="5"/>
        <v>0.51</v>
      </c>
    </row>
    <row r="80" spans="1:12" x14ac:dyDescent="0.25">
      <c r="A80" s="2" t="s">
        <v>90</v>
      </c>
      <c r="B80" s="9" t="s">
        <v>232</v>
      </c>
      <c r="C80" s="3" t="s">
        <v>300</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91</v>
      </c>
      <c r="B81" s="9" t="s">
        <v>233</v>
      </c>
      <c r="C81" s="3" t="s">
        <v>301</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92</v>
      </c>
      <c r="B82" s="9" t="s">
        <v>234</v>
      </c>
      <c r="C82" s="3" t="s">
        <v>294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93</v>
      </c>
      <c r="B83" s="9" t="s">
        <v>235</v>
      </c>
      <c r="C83" s="3" t="s">
        <v>295</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94</v>
      </c>
      <c r="B84" s="9" t="s">
        <v>236</v>
      </c>
      <c r="C84" s="3" t="s">
        <v>296</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95</v>
      </c>
      <c r="B85" s="9" t="s">
        <v>237</v>
      </c>
      <c r="C85" s="3" t="s">
        <v>297</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96</v>
      </c>
      <c r="B86" s="9" t="s">
        <v>238</v>
      </c>
      <c r="C86" s="3" t="s">
        <v>298</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97</v>
      </c>
      <c r="B87" s="9" t="s">
        <v>239</v>
      </c>
      <c r="C87" s="3" t="s">
        <v>299</v>
      </c>
      <c r="D87" s="4">
        <v>46</v>
      </c>
      <c r="E87" s="4">
        <v>19</v>
      </c>
      <c r="F87" s="4">
        <v>59</v>
      </c>
      <c r="G87" s="4">
        <v>58</v>
      </c>
      <c r="H87" s="4">
        <v>33</v>
      </c>
      <c r="I87" s="5">
        <f t="shared" si="3"/>
        <v>215</v>
      </c>
      <c r="J87" s="5">
        <v>500</v>
      </c>
      <c r="K87" s="6">
        <f t="shared" si="4"/>
        <v>0.43</v>
      </c>
      <c r="L87" s="7">
        <f t="shared" si="5"/>
        <v>0.57000000000000006</v>
      </c>
    </row>
    <row r="88" spans="1:12" x14ac:dyDescent="0.25">
      <c r="A88" s="2" t="s">
        <v>98</v>
      </c>
      <c r="B88" s="9" t="s">
        <v>240</v>
      </c>
      <c r="C88" s="3" t="s">
        <v>300</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99</v>
      </c>
      <c r="B89" s="9" t="s">
        <v>241</v>
      </c>
      <c r="C89" s="3" t="s">
        <v>301</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100</v>
      </c>
      <c r="B90" s="9" t="s">
        <v>242</v>
      </c>
      <c r="C90" s="3" t="s">
        <v>294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101</v>
      </c>
      <c r="B91" s="9" t="s">
        <v>243</v>
      </c>
      <c r="C91" s="3" t="s">
        <v>295</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102</v>
      </c>
      <c r="B92" s="9" t="s">
        <v>244</v>
      </c>
      <c r="C92" s="3" t="s">
        <v>296</v>
      </c>
      <c r="D92" s="4">
        <v>80</v>
      </c>
      <c r="E92" s="4">
        <v>73</v>
      </c>
      <c r="F92" s="4">
        <v>21</v>
      </c>
      <c r="G92" s="4">
        <v>72</v>
      </c>
      <c r="H92" s="4">
        <v>54</v>
      </c>
      <c r="I92" s="5">
        <f t="shared" si="3"/>
        <v>300</v>
      </c>
      <c r="J92" s="5">
        <v>500</v>
      </c>
      <c r="K92" s="6">
        <f t="shared" si="4"/>
        <v>0.6</v>
      </c>
      <c r="L92" s="7">
        <f t="shared" si="5"/>
        <v>0.4</v>
      </c>
    </row>
    <row r="93" spans="1:12" x14ac:dyDescent="0.25">
      <c r="A93" s="2" t="s">
        <v>103</v>
      </c>
      <c r="B93" s="9" t="s">
        <v>245</v>
      </c>
      <c r="C93" s="3" t="s">
        <v>297</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104</v>
      </c>
      <c r="B94" s="9" t="s">
        <v>246</v>
      </c>
      <c r="C94" s="3" t="s">
        <v>298</v>
      </c>
      <c r="D94" s="4">
        <v>18</v>
      </c>
      <c r="E94" s="4">
        <v>80</v>
      </c>
      <c r="F94" s="4">
        <v>20</v>
      </c>
      <c r="G94" s="4">
        <v>32</v>
      </c>
      <c r="H94" s="4">
        <v>95</v>
      </c>
      <c r="I94" s="5">
        <f t="shared" si="3"/>
        <v>245</v>
      </c>
      <c r="J94" s="5">
        <v>500</v>
      </c>
      <c r="K94" s="6">
        <f t="shared" si="4"/>
        <v>0.49</v>
      </c>
      <c r="L94" s="7">
        <f t="shared" si="5"/>
        <v>0.51</v>
      </c>
    </row>
    <row r="95" spans="1:12" x14ac:dyDescent="0.25">
      <c r="A95" s="2" t="s">
        <v>105</v>
      </c>
      <c r="B95" s="9" t="s">
        <v>247</v>
      </c>
      <c r="C95" s="3" t="s">
        <v>299</v>
      </c>
      <c r="D95" s="4">
        <v>96</v>
      </c>
      <c r="E95" s="4">
        <v>14</v>
      </c>
      <c r="F95" s="4">
        <v>20</v>
      </c>
      <c r="G95" s="4">
        <v>31</v>
      </c>
      <c r="H95" s="4">
        <v>44</v>
      </c>
      <c r="I95" s="5">
        <f t="shared" si="3"/>
        <v>205</v>
      </c>
      <c r="J95" s="5">
        <v>500</v>
      </c>
      <c r="K95" s="6">
        <f t="shared" si="4"/>
        <v>0.41</v>
      </c>
      <c r="L95" s="7">
        <f t="shared" si="5"/>
        <v>0.59000000000000008</v>
      </c>
    </row>
    <row r="96" spans="1:12" x14ac:dyDescent="0.25">
      <c r="A96" s="2" t="s">
        <v>106</v>
      </c>
      <c r="B96" s="9" t="s">
        <v>248</v>
      </c>
      <c r="C96" s="3" t="s">
        <v>300</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107</v>
      </c>
      <c r="B97" s="9" t="s">
        <v>249</v>
      </c>
      <c r="C97" s="3" t="s">
        <v>301</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108</v>
      </c>
      <c r="B98" s="9" t="s">
        <v>250</v>
      </c>
      <c r="C98" s="3" t="s">
        <v>294</v>
      </c>
      <c r="D98" s="4">
        <v>31</v>
      </c>
      <c r="E98" s="4">
        <v>48</v>
      </c>
      <c r="F98" s="4">
        <v>56</v>
      </c>
      <c r="G98" s="4">
        <v>85</v>
      </c>
      <c r="H98" s="4">
        <v>25</v>
      </c>
      <c r="I98" s="5">
        <f t="shared" si="3"/>
        <v>245</v>
      </c>
      <c r="J98" s="5">
        <v>500</v>
      </c>
      <c r="K98" s="6">
        <f t="shared" si="4"/>
        <v>0.49</v>
      </c>
      <c r="L98" s="7">
        <f t="shared" si="5"/>
        <v>0.51</v>
      </c>
    </row>
    <row r="99" spans="1:12" x14ac:dyDescent="0.25">
      <c r="A99" s="2" t="s">
        <v>109</v>
      </c>
      <c r="B99" s="9" t="s">
        <v>251</v>
      </c>
      <c r="C99" s="3" t="s">
        <v>295</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110</v>
      </c>
      <c r="B100" s="9" t="s">
        <v>252</v>
      </c>
      <c r="C100" s="3" t="s">
        <v>296</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111</v>
      </c>
      <c r="B101" s="9" t="s">
        <v>253</v>
      </c>
      <c r="C101" s="3" t="s">
        <v>297</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112</v>
      </c>
      <c r="B102" s="9" t="s">
        <v>254</v>
      </c>
      <c r="C102" s="3" t="s">
        <v>298</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113</v>
      </c>
      <c r="B103" s="9" t="s">
        <v>255</v>
      </c>
      <c r="C103" s="3" t="s">
        <v>299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114</v>
      </c>
      <c r="B104" s="9" t="s">
        <v>256</v>
      </c>
      <c r="C104" s="3" t="s">
        <v>300</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115</v>
      </c>
      <c r="B105" s="9" t="s">
        <v>257</v>
      </c>
      <c r="C105" s="3" t="s">
        <v>301</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116</v>
      </c>
      <c r="B106" s="9" t="s">
        <v>258</v>
      </c>
      <c r="C106" s="3" t="s">
        <v>294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117</v>
      </c>
      <c r="B107" s="9" t="s">
        <v>259</v>
      </c>
      <c r="C107" s="3" t="s">
        <v>295</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118</v>
      </c>
      <c r="B108" s="9" t="s">
        <v>260</v>
      </c>
      <c r="C108" s="3" t="s">
        <v>296</v>
      </c>
      <c r="D108" s="4">
        <v>61</v>
      </c>
      <c r="E108" s="4">
        <v>91</v>
      </c>
      <c r="F108" s="4">
        <v>53</v>
      </c>
      <c r="G108" s="4">
        <v>78</v>
      </c>
      <c r="H108" s="4">
        <v>91</v>
      </c>
      <c r="I108" s="5">
        <f t="shared" si="3"/>
        <v>374</v>
      </c>
      <c r="J108" s="5">
        <v>500</v>
      </c>
      <c r="K108" s="6">
        <f t="shared" si="4"/>
        <v>0.748</v>
      </c>
      <c r="L108" s="7">
        <f t="shared" si="5"/>
        <v>0.252</v>
      </c>
    </row>
    <row r="109" spans="1:12" x14ac:dyDescent="0.25">
      <c r="A109" s="2" t="s">
        <v>119</v>
      </c>
      <c r="B109" s="9" t="s">
        <v>261</v>
      </c>
      <c r="C109" s="3" t="s">
        <v>297</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120</v>
      </c>
      <c r="B110" s="9" t="s">
        <v>262</v>
      </c>
      <c r="C110" s="3" t="s">
        <v>298</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121</v>
      </c>
      <c r="B111" s="9" t="s">
        <v>263</v>
      </c>
      <c r="C111" s="3" t="s">
        <v>299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122</v>
      </c>
      <c r="B112" s="9" t="s">
        <v>264</v>
      </c>
      <c r="C112" s="3" t="s">
        <v>300</v>
      </c>
      <c r="D112" s="4">
        <v>39</v>
      </c>
      <c r="E112" s="4">
        <v>52</v>
      </c>
      <c r="F112" s="4">
        <v>72</v>
      </c>
      <c r="G112" s="4">
        <v>99</v>
      </c>
      <c r="H112" s="4">
        <v>58</v>
      </c>
      <c r="I112" s="5">
        <f t="shared" si="3"/>
        <v>320</v>
      </c>
      <c r="J112" s="5">
        <v>500</v>
      </c>
      <c r="K112" s="6">
        <f t="shared" si="4"/>
        <v>0.64</v>
      </c>
      <c r="L112" s="7">
        <f t="shared" si="5"/>
        <v>0.36</v>
      </c>
    </row>
    <row r="113" spans="1:12" x14ac:dyDescent="0.25">
      <c r="A113" s="2" t="s">
        <v>123</v>
      </c>
      <c r="B113" s="9" t="s">
        <v>265</v>
      </c>
      <c r="C113" s="3" t="s">
        <v>301</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124</v>
      </c>
      <c r="B114" s="9" t="s">
        <v>266</v>
      </c>
      <c r="C114" s="3" t="s">
        <v>294</v>
      </c>
      <c r="D114" s="4">
        <v>43</v>
      </c>
      <c r="E114" s="4">
        <v>88</v>
      </c>
      <c r="F114" s="4">
        <v>35</v>
      </c>
      <c r="G114" s="4">
        <v>54</v>
      </c>
      <c r="H114" s="4">
        <v>91</v>
      </c>
      <c r="I114" s="5">
        <f t="shared" si="3"/>
        <v>311</v>
      </c>
      <c r="J114" s="5">
        <v>500</v>
      </c>
      <c r="K114" s="6">
        <f t="shared" si="4"/>
        <v>0.622</v>
      </c>
      <c r="L114" s="7">
        <f t="shared" si="5"/>
        <v>0.378</v>
      </c>
    </row>
    <row r="115" spans="1:12" x14ac:dyDescent="0.25">
      <c r="A115" s="2" t="s">
        <v>125</v>
      </c>
      <c r="B115" s="9" t="s">
        <v>267</v>
      </c>
      <c r="C115" s="3" t="s">
        <v>295</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126</v>
      </c>
      <c r="B116" s="9" t="s">
        <v>268</v>
      </c>
      <c r="C116" s="3" t="s">
        <v>296</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127</v>
      </c>
      <c r="B117" s="9" t="s">
        <v>269</v>
      </c>
      <c r="C117" s="3" t="s">
        <v>297</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128</v>
      </c>
      <c r="B118" s="9" t="s">
        <v>270</v>
      </c>
      <c r="C118" s="3" t="s">
        <v>298</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129</v>
      </c>
      <c r="B119" s="9" t="s">
        <v>271</v>
      </c>
      <c r="C119" s="3" t="s">
        <v>299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130</v>
      </c>
      <c r="B120" s="9" t="s">
        <v>272</v>
      </c>
      <c r="C120" s="3" t="s">
        <v>300</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131</v>
      </c>
      <c r="B121" s="9" t="s">
        <v>273</v>
      </c>
      <c r="C121" s="3" t="s">
        <v>301</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132</v>
      </c>
      <c r="B122" s="9" t="s">
        <v>274</v>
      </c>
      <c r="C122" s="3" t="s">
        <v>294</v>
      </c>
      <c r="D122" s="4">
        <v>91</v>
      </c>
      <c r="E122" s="4">
        <v>38</v>
      </c>
      <c r="F122" s="4">
        <v>33</v>
      </c>
      <c r="G122" s="4">
        <v>55</v>
      </c>
      <c r="H122" s="4">
        <v>83</v>
      </c>
      <c r="I122" s="5">
        <f t="shared" si="3"/>
        <v>300</v>
      </c>
      <c r="J122" s="5">
        <v>500</v>
      </c>
      <c r="K122" s="6">
        <f t="shared" si="4"/>
        <v>0.6</v>
      </c>
      <c r="L122" s="7">
        <f t="shared" si="5"/>
        <v>0.4</v>
      </c>
    </row>
    <row r="123" spans="1:12" x14ac:dyDescent="0.25">
      <c r="A123" s="2" t="s">
        <v>133</v>
      </c>
      <c r="B123" s="9" t="s">
        <v>275</v>
      </c>
      <c r="C123" s="3" t="s">
        <v>295</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134</v>
      </c>
      <c r="B124" s="9" t="s">
        <v>276</v>
      </c>
      <c r="C124" s="3" t="s">
        <v>296</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135</v>
      </c>
      <c r="B125" s="9" t="s">
        <v>277</v>
      </c>
      <c r="C125" s="3" t="s">
        <v>297</v>
      </c>
      <c r="D125" s="4">
        <v>26</v>
      </c>
      <c r="E125" s="4">
        <v>16</v>
      </c>
      <c r="F125" s="4">
        <v>61</v>
      </c>
      <c r="G125" s="4">
        <v>92</v>
      </c>
      <c r="H125" s="4">
        <v>50</v>
      </c>
      <c r="I125" s="5">
        <f t="shared" si="3"/>
        <v>245</v>
      </c>
      <c r="J125" s="5">
        <v>500</v>
      </c>
      <c r="K125" s="6">
        <f t="shared" si="4"/>
        <v>0.49</v>
      </c>
      <c r="L125" s="7">
        <f t="shared" si="5"/>
        <v>0.51</v>
      </c>
    </row>
    <row r="126" spans="1:12" x14ac:dyDescent="0.25">
      <c r="A126" s="2" t="s">
        <v>136</v>
      </c>
      <c r="B126" s="9" t="s">
        <v>278</v>
      </c>
      <c r="C126" s="3" t="s">
        <v>298</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137</v>
      </c>
      <c r="B127" s="9" t="s">
        <v>279</v>
      </c>
      <c r="C127" s="3" t="s">
        <v>299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138</v>
      </c>
      <c r="B128" s="9" t="s">
        <v>280</v>
      </c>
      <c r="C128" s="3" t="s">
        <v>300</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139</v>
      </c>
      <c r="B129" s="9" t="s">
        <v>281</v>
      </c>
      <c r="C129" s="3" t="s">
        <v>301</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140</v>
      </c>
      <c r="B130" s="9" t="s">
        <v>282</v>
      </c>
      <c r="C130" s="3" t="s">
        <v>294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141</v>
      </c>
      <c r="B131" s="9" t="s">
        <v>283</v>
      </c>
      <c r="C131" s="3" t="s">
        <v>295</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142</v>
      </c>
      <c r="B132" s="9" t="s">
        <v>284</v>
      </c>
      <c r="C132" s="3" t="s">
        <v>296</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143</v>
      </c>
      <c r="B133" s="9" t="s">
        <v>285</v>
      </c>
      <c r="C133" s="3" t="s">
        <v>297</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144</v>
      </c>
      <c r="B134" s="9" t="s">
        <v>286</v>
      </c>
      <c r="C134" s="3" t="s">
        <v>298</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145</v>
      </c>
      <c r="B135" s="9" t="s">
        <v>287</v>
      </c>
      <c r="C135" s="3" t="s">
        <v>299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146</v>
      </c>
      <c r="B136" s="9" t="s">
        <v>288</v>
      </c>
      <c r="C136" s="3" t="s">
        <v>300</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147</v>
      </c>
      <c r="B137" s="9" t="s">
        <v>289</v>
      </c>
      <c r="C137" s="3" t="s">
        <v>301</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148</v>
      </c>
      <c r="B138" s="9" t="s">
        <v>290</v>
      </c>
      <c r="C138" s="3" t="s">
        <v>294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149</v>
      </c>
      <c r="B139" s="9" t="s">
        <v>291</v>
      </c>
      <c r="C139" s="3" t="s">
        <v>295</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150</v>
      </c>
      <c r="B140" s="9" t="s">
        <v>292</v>
      </c>
      <c r="C140" s="3" t="s">
        <v>296</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151</v>
      </c>
      <c r="B141" s="9" t="s">
        <v>293</v>
      </c>
      <c r="C141" s="3" t="s">
        <v>297</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152</v>
      </c>
      <c r="B142" s="3" t="s">
        <v>153</v>
      </c>
      <c r="C142" s="3" t="s">
        <v>298</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Devolix.co</dc:creator>
  <cp:lastModifiedBy>Devolix.co</cp:lastModifiedBy>
  <dcterms:created xsi:type="dcterms:W3CDTF">2025-07-10T13:20:53Z</dcterms:created>
  <dcterms:modified xsi:type="dcterms:W3CDTF">2025-07-11T17:12:26Z</dcterms:modified>
</cp:coreProperties>
</file>